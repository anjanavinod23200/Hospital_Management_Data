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tables/table7.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njan\OneDrive\Desktop\"/>
    </mc:Choice>
  </mc:AlternateContent>
  <xr:revisionPtr revIDLastSave="0" documentId="13_ncr:1_{F8E6EF22-664D-4DAB-BDFE-35DFC2AFEDDE}" xr6:coauthVersionLast="47" xr6:coauthVersionMax="47" xr10:uidLastSave="{00000000-0000-0000-0000-000000000000}"/>
  <bookViews>
    <workbookView xWindow="-103" yWindow="-103" windowWidth="22149" windowHeight="13200" firstSheet="7" activeTab="12" xr2:uid="{EF72466B-C0BB-4898-B87E-BBDC4686247A}"/>
  </bookViews>
  <sheets>
    <sheet name="Appointments" sheetId="2" r:id="rId1"/>
    <sheet name="Patients" sheetId="5" r:id="rId2"/>
    <sheet name="Doctors" sheetId="4" r:id="rId3"/>
    <sheet name="Treatments" sheetId="6" r:id="rId4"/>
    <sheet name="Billing" sheetId="8" r:id="rId5"/>
    <sheet name="Hospital Management Data" sheetId="1" r:id="rId6"/>
    <sheet name="Changelog" sheetId="18" r:id="rId7"/>
    <sheet name="Analysis " sheetId="22" r:id="rId8"/>
    <sheet name="Calculation" sheetId="19" r:id="rId9"/>
    <sheet name="PIVOT" sheetId="23" r:id="rId10"/>
    <sheet name="Charts" sheetId="24" r:id="rId11"/>
    <sheet name="Dashboard" sheetId="25" r:id="rId12"/>
    <sheet name="Insights &amp; Recommendations" sheetId="31" r:id="rId13"/>
  </sheets>
  <definedNames>
    <definedName name="ExternalData_1" localSheetId="0" hidden="1">Appointments!$A$1:$G$201</definedName>
    <definedName name="ExternalData_1" localSheetId="4" hidden="1">Billing!$A$1:$G$201</definedName>
    <definedName name="ExternalData_1" localSheetId="2" hidden="1">Doctors!$A$1:$H$11</definedName>
    <definedName name="ExternalData_1" localSheetId="5" hidden="1">'Hospital Management Data'!$A$1:$J$201</definedName>
    <definedName name="ExternalData_1" localSheetId="1" hidden="1">Patients!$A$1:$K$51</definedName>
    <definedName name="ExternalData_1" localSheetId="3" hidden="1">Treatments!$A$1:$F$201</definedName>
    <definedName name="NativeTimeline_Bill_date">#N/A</definedName>
    <definedName name="Slicer_Doctor_Full_Name">#N/A</definedName>
    <definedName name="Slicer_Hospital_branch">#N/A</definedName>
    <definedName name="Slicer_Payment_method">#N/A</definedName>
    <definedName name="Slicer_Payment_status">#N/A</definedName>
    <definedName name="Slicer_Reason_for_visit">#N/A</definedName>
    <definedName name="Slicer_Specialization">#N/A</definedName>
    <definedName name="Slicer_Status">#N/A</definedName>
    <definedName name="Slicer_Treatment_typ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9" l="1"/>
  <c r="E12" i="19" s="1"/>
  <c r="C11" i="23"/>
  <c r="C8" i="23"/>
  <c r="C10" i="23"/>
  <c r="C7" i="23"/>
  <c r="C9" i="23"/>
  <c r="E13" i="19" l="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 i="1"/>
  <c r="E17" i="19" l="1"/>
  <c r="E15" i="19"/>
  <c r="G19" i="19"/>
  <c r="G20" i="19"/>
  <c r="G22" i="19"/>
  <c r="G18" i="19"/>
  <c r="G21" i="19"/>
  <c r="E14" i="19"/>
  <c r="E16"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448828-23A3-4B7B-BF4F-83A0ED8BFAB8}" keepAlive="1" name="Query - appointments" description="Connection to the 'appointments' query in the workbook." type="5" refreshedVersion="8" background="1" saveData="1">
    <dbPr connection="Provider=Microsoft.Mashup.OleDb.1;Data Source=$Workbook$;Location=appointments;Extended Properties=&quot;&quot;" command="SELECT * FROM [appointments]"/>
  </connection>
  <connection id="2" xr16:uid="{89982D1C-3340-40E7-92C8-2D38338BA4CF}" keepAlive="1" name="Query - appointments (2)" description="Connection to the 'appointments (2)' query in the workbook." type="5" refreshedVersion="8" background="1" saveData="1">
    <dbPr connection="Provider=Microsoft.Mashup.OleDb.1;Data Source=$Workbook$;Location=&quot;appointments (2)&quot;;Extended Properties=&quot;&quot;" command="SELECT * FROM [appointments (2)]"/>
  </connection>
  <connection id="3" xr16:uid="{C0CDA15C-3E25-4FA5-B8E3-022088068A8E}" keepAlive="1" name="Query - billing" description="Connection to the 'billing' query in the workbook." type="5" refreshedVersion="8" background="1" saveData="1">
    <dbPr connection="Provider=Microsoft.Mashup.OleDb.1;Data Source=$Workbook$;Location=billing;Extended Properties=&quot;&quot;" command="SELECT * FROM [billing]"/>
  </connection>
  <connection id="4" xr16:uid="{EC30D322-3C9A-498F-ACE5-8957D20E1AF9}" keepAlive="1" name="Query - billing (2)" description="Connection to the 'billing (2)' query in the workbook." type="5" refreshedVersion="8" background="1" saveData="1">
    <dbPr connection="Provider=Microsoft.Mashup.OleDb.1;Data Source=$Workbook$;Location=&quot;billing (2)&quot;;Extended Properties=&quot;&quot;" command="SELECT * FROM [billing (2)]"/>
  </connection>
  <connection id="5" xr16:uid="{C78D517F-65D5-43BD-B0BB-64046F43100B}" keepAlive="1" name="Query - doctors" description="Connection to the 'doctors' query in the workbook." type="5" refreshedVersion="8" background="1" saveData="1">
    <dbPr connection="Provider=Microsoft.Mashup.OleDb.1;Data Source=$Workbook$;Location=doctors;Extended Properties=&quot;&quot;" command="SELECT * FROM [doctors]"/>
  </connection>
  <connection id="6" xr16:uid="{24661A30-15A8-4E28-80A8-E6CADB641562}"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7" xr16:uid="{9663F8F0-0AAC-43CF-BCC8-748690EE639B}" keepAlive="1" name="Query - treatments" description="Connection to the 'treatments' query in the workbook." type="5" refreshedVersion="8" background="1" saveData="1">
    <dbPr connection="Provider=Microsoft.Mashup.OleDb.1;Data Source=$Workbook$;Location=treatments;Extended Properties=&quot;&quot;" command="SELECT * FROM [treatments]"/>
  </connection>
</connections>
</file>

<file path=xl/sharedStrings.xml><?xml version="1.0" encoding="utf-8"?>
<sst xmlns="http://schemas.openxmlformats.org/spreadsheetml/2006/main" count="4883" uniqueCount="1024">
  <si>
    <t>appointment_id</t>
  </si>
  <si>
    <t>patient_id</t>
  </si>
  <si>
    <t>doctor_id</t>
  </si>
  <si>
    <t>appointment_date</t>
  </si>
  <si>
    <t>appointment_time</t>
  </si>
  <si>
    <t>reason_for_visit</t>
  </si>
  <si>
    <t>status</t>
  </si>
  <si>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</si>
  <si>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</si>
  <si>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</si>
  <si>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</si>
  <si>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</si>
  <si>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</si>
  <si>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</si>
  <si>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</si>
  <si>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</si>
  <si>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</si>
  <si>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</si>
  <si>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</si>
  <si>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</si>
  <si>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</si>
  <si>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</si>
  <si>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</si>
  <si>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</si>
  <si>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</si>
  <si>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</si>
  <si>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</si>
  <si>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</si>
  <si>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</si>
  <si>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</si>
  <si>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</si>
  <si>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</si>
  <si>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</si>
  <si>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</si>
  <si>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</si>
  <si>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</si>
  <si>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</si>
  <si>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</si>
  <si>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</si>
  <si>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</si>
  <si>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</si>
  <si>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</si>
  <si>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</si>
  <si>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</si>
  <si>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</si>
  <si>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</si>
  <si>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</si>
  <si>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</si>
  <si>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</si>
  <si>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</si>
  <si>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</si>
  <si>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</si>
  <si>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</si>
  <si>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</si>
  <si>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</si>
  <si>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</si>
  <si>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</si>
  <si>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</si>
  <si>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</si>
  <si>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</si>
  <si>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</si>
  <si>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</si>
  <si>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</si>
  <si>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</si>
  <si>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</si>
  <si>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</si>
  <si>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</si>
  <si>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</si>
  <si>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</si>
  <si>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</si>
  <si>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</si>
  <si>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</si>
  <si>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</si>
  <si>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</si>
  <si>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</si>
  <si>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</si>
  <si>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</si>
  <si>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</si>
  <si>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</si>
  <si>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</si>
  <si>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</si>
  <si>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</si>
  <si>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</si>
  <si>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</si>
  <si>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</si>
  <si>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</si>
  <si>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</si>
  <si>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</si>
  <si>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</si>
  <si>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</si>
  <si>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</si>
  <si>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</si>
  <si>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</si>
  <si>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</si>
  <si>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</si>
  <si>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</si>
  <si>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</si>
  <si>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</si>
  <si>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</si>
  <si>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</si>
  <si>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</si>
  <si>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</si>
  <si>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</si>
  <si>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</si>
  <si>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</si>
  <si>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</si>
  <si>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</si>
  <si>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</si>
  <si>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</si>
  <si>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</si>
  <si>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</si>
  <si>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</si>
  <si>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</si>
  <si>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</si>
  <si>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</si>
  <si>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</si>
  <si>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</si>
  <si>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</si>
  <si>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</si>
  <si>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</si>
  <si>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</si>
  <si>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</si>
  <si>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</si>
  <si>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</si>
  <si>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</si>
  <si>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</si>
  <si>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</si>
  <si>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</si>
  <si>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</si>
  <si>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</si>
  <si>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</si>
  <si>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</si>
  <si>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</si>
  <si>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</si>
  <si>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</si>
  <si>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</si>
  <si>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</si>
  <si>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</si>
  <si>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</si>
  <si>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</si>
  <si>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</si>
  <si>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</si>
  <si>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</si>
  <si>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</si>
  <si>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</si>
  <si>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</si>
  <si>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</si>
  <si>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</si>
  <si>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</si>
  <si>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</si>
  <si>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</si>
  <si>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</si>
  <si>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</si>
  <si>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</si>
  <si>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</si>
  <si>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</si>
  <si>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</si>
  <si>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</si>
  <si>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</si>
  <si>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</si>
  <si>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</si>
  <si>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</si>
  <si>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</si>
  <si>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</si>
  <si>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</si>
  <si>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</si>
  <si>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</si>
  <si>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</si>
  <si>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</si>
  <si>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</si>
  <si>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</si>
  <si>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</si>
  <si>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</si>
  <si>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</si>
  <si>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</si>
  <si>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</si>
  <si>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</si>
  <si>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</si>
  <si>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</si>
  <si>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</si>
  <si>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</si>
  <si>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</si>
  <si>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</si>
  <si>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</si>
  <si>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</si>
  <si>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</si>
  <si>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</si>
  <si>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</si>
  <si>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</si>
  <si>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</si>
  <si>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</si>
  <si>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</si>
  <si>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</si>
  <si>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</si>
  <si>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</si>
  <si>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</si>
  <si>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</si>
  <si>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</si>
  <si>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</si>
  <si>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</si>
  <si>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</si>
  <si>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</si>
  <si>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</si>
  <si>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</si>
  <si>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</si>
  <si>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</si>
  <si>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</si>
  <si>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</si>
  <si>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</si>
  <si>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</si>
  <si>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</si>
  <si>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</si>
  <si>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</si>
  <si>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</si>
  <si>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</si>
  <si>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</si>
  <si>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</si>
  <si>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</si>
  <si>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</si>
  <si>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</si>
  <si>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</si>
  <si>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</si>
  <si>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</si>
  <si>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</si>
  <si>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</si>
  <si>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</si>
  <si>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</si>
  <si>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</si>
  <si>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</si>
  <si>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</si>
  <si>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</si>
  <si>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</si>
  <si>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</si>
  <si>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</si>
  <si>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</si>
  <si>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</si>
  <si>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</si>
  <si>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</si>
  <si>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</si>
  <si>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</si>
  <si>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</si>
  <si>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</si>
  <si>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</si>
  <si>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</si>
  <si>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</si>
  <si>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</si>
  <si>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</si>
  <si>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</si>
  <si>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</si>
  <si>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</si>
  <si>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</si>
  <si>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</si>
  <si>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</si>
  <si>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</si>
  <si>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</si>
  <si>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</si>
  <si>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</si>
  <si>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</si>
  <si>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</si>
  <si>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</si>
  <si>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</si>
  <si>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</si>
  <si>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</si>
  <si>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</si>
  <si>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</si>
  <si>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</si>
  <si>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</si>
  <si>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</si>
  <si>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</si>
  <si>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</si>
  <si>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</si>
  <si>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</si>
  <si>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</si>
  <si>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</si>
  <si>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bill_id</t>
  </si>
  <si>
    <t>treatment_id</t>
  </si>
  <si>
    <t>bill_date</t>
  </si>
  <si>
    <t>amount</t>
  </si>
  <si>
    <t>payment_method</t>
  </si>
  <si>
    <t>payment_status</t>
  </si>
  <si>
    <t>B001</t>
  </si>
  <si>
    <t>T001</t>
  </si>
  <si>
    <t>Insurance</t>
  </si>
  <si>
    <t>Pending</t>
  </si>
  <si>
    <t>B002</t>
  </si>
  <si>
    <t>T002</t>
  </si>
  <si>
    <t>Paid</t>
  </si>
  <si>
    <t>B003</t>
  </si>
  <si>
    <t>T003</t>
  </si>
  <si>
    <t>B004</t>
  </si>
  <si>
    <t>T004</t>
  </si>
  <si>
    <t>Failed</t>
  </si>
  <si>
    <t>B005</t>
  </si>
  <si>
    <t>T005</t>
  </si>
  <si>
    <t>Credit Card</t>
  </si>
  <si>
    <t>B006</t>
  </si>
  <si>
    <t>T006</t>
  </si>
  <si>
    <t>B007</t>
  </si>
  <si>
    <t>T007</t>
  </si>
  <si>
    <t>Cash</t>
  </si>
  <si>
    <t>B008</t>
  </si>
  <si>
    <t>T008</t>
  </si>
  <si>
    <t>B009</t>
  </si>
  <si>
    <t>T009</t>
  </si>
  <si>
    <t>B010</t>
  </si>
  <si>
    <t>T010</t>
  </si>
  <si>
    <t>B011</t>
  </si>
  <si>
    <t>T011</t>
  </si>
  <si>
    <t>B012</t>
  </si>
  <si>
    <t>T012</t>
  </si>
  <si>
    <t>B013</t>
  </si>
  <si>
    <t>T013</t>
  </si>
  <si>
    <t>B014</t>
  </si>
  <si>
    <t>T014</t>
  </si>
  <si>
    <t>B015</t>
  </si>
  <si>
    <t>T015</t>
  </si>
  <si>
    <t>B016</t>
  </si>
  <si>
    <t>T016</t>
  </si>
  <si>
    <t>B017</t>
  </si>
  <si>
    <t>T017</t>
  </si>
  <si>
    <t>B018</t>
  </si>
  <si>
    <t>T018</t>
  </si>
  <si>
    <t>B019</t>
  </si>
  <si>
    <t>T019</t>
  </si>
  <si>
    <t>B020</t>
  </si>
  <si>
    <t>T020</t>
  </si>
  <si>
    <t>B021</t>
  </si>
  <si>
    <t>T021</t>
  </si>
  <si>
    <t>B022</t>
  </si>
  <si>
    <t>T022</t>
  </si>
  <si>
    <t>B023</t>
  </si>
  <si>
    <t>T023</t>
  </si>
  <si>
    <t>B024</t>
  </si>
  <si>
    <t>T024</t>
  </si>
  <si>
    <t>B025</t>
  </si>
  <si>
    <t>T025</t>
  </si>
  <si>
    <t>B026</t>
  </si>
  <si>
    <t>T026</t>
  </si>
  <si>
    <t>B027</t>
  </si>
  <si>
    <t>T027</t>
  </si>
  <si>
    <t>B028</t>
  </si>
  <si>
    <t>T028</t>
  </si>
  <si>
    <t>B029</t>
  </si>
  <si>
    <t>T029</t>
  </si>
  <si>
    <t>B030</t>
  </si>
  <si>
    <t>T030</t>
  </si>
  <si>
    <t>B031</t>
  </si>
  <si>
    <t>T031</t>
  </si>
  <si>
    <t>B032</t>
  </si>
  <si>
    <t>T032</t>
  </si>
  <si>
    <t>B033</t>
  </si>
  <si>
    <t>T033</t>
  </si>
  <si>
    <t>B034</t>
  </si>
  <si>
    <t>T034</t>
  </si>
  <si>
    <t>B035</t>
  </si>
  <si>
    <t>T035</t>
  </si>
  <si>
    <t>B036</t>
  </si>
  <si>
    <t>T036</t>
  </si>
  <si>
    <t>B037</t>
  </si>
  <si>
    <t>T037</t>
  </si>
  <si>
    <t>B038</t>
  </si>
  <si>
    <t>T038</t>
  </si>
  <si>
    <t>B039</t>
  </si>
  <si>
    <t>T039</t>
  </si>
  <si>
    <t>B040</t>
  </si>
  <si>
    <t>T040</t>
  </si>
  <si>
    <t>B041</t>
  </si>
  <si>
    <t>T041</t>
  </si>
  <si>
    <t>B042</t>
  </si>
  <si>
    <t>T042</t>
  </si>
  <si>
    <t>B043</t>
  </si>
  <si>
    <t>T043</t>
  </si>
  <si>
    <t>B044</t>
  </si>
  <si>
    <t>T044</t>
  </si>
  <si>
    <t>B045</t>
  </si>
  <si>
    <t>T045</t>
  </si>
  <si>
    <t>B046</t>
  </si>
  <si>
    <t>T046</t>
  </si>
  <si>
    <t>B047</t>
  </si>
  <si>
    <t>T047</t>
  </si>
  <si>
    <t>B048</t>
  </si>
  <si>
    <t>T048</t>
  </si>
  <si>
    <t>B049</t>
  </si>
  <si>
    <t>T049</t>
  </si>
  <si>
    <t>B050</t>
  </si>
  <si>
    <t>T050</t>
  </si>
  <si>
    <t>B051</t>
  </si>
  <si>
    <t>T051</t>
  </si>
  <si>
    <t>B052</t>
  </si>
  <si>
    <t>T052</t>
  </si>
  <si>
    <t>B053</t>
  </si>
  <si>
    <t>T053</t>
  </si>
  <si>
    <t>B054</t>
  </si>
  <si>
    <t>T054</t>
  </si>
  <si>
    <t>B055</t>
  </si>
  <si>
    <t>T055</t>
  </si>
  <si>
    <t>B056</t>
  </si>
  <si>
    <t>T056</t>
  </si>
  <si>
    <t>B057</t>
  </si>
  <si>
    <t>T057</t>
  </si>
  <si>
    <t>B058</t>
  </si>
  <si>
    <t>T058</t>
  </si>
  <si>
    <t>B059</t>
  </si>
  <si>
    <t>T059</t>
  </si>
  <si>
    <t>B060</t>
  </si>
  <si>
    <t>T060</t>
  </si>
  <si>
    <t>B061</t>
  </si>
  <si>
    <t>T061</t>
  </si>
  <si>
    <t>B062</t>
  </si>
  <si>
    <t>T062</t>
  </si>
  <si>
    <t>B063</t>
  </si>
  <si>
    <t>T063</t>
  </si>
  <si>
    <t>B064</t>
  </si>
  <si>
    <t>T064</t>
  </si>
  <si>
    <t>B065</t>
  </si>
  <si>
    <t>T065</t>
  </si>
  <si>
    <t>B066</t>
  </si>
  <si>
    <t>T066</t>
  </si>
  <si>
    <t>B067</t>
  </si>
  <si>
    <t>T067</t>
  </si>
  <si>
    <t>B068</t>
  </si>
  <si>
    <t>T068</t>
  </si>
  <si>
    <t>B069</t>
  </si>
  <si>
    <t>T069</t>
  </si>
  <si>
    <t>B070</t>
  </si>
  <si>
    <t>T070</t>
  </si>
  <si>
    <t>B071</t>
  </si>
  <si>
    <t>T071</t>
  </si>
  <si>
    <t>B072</t>
  </si>
  <si>
    <t>T072</t>
  </si>
  <si>
    <t>B073</t>
  </si>
  <si>
    <t>T073</t>
  </si>
  <si>
    <t>B074</t>
  </si>
  <si>
    <t>T074</t>
  </si>
  <si>
    <t>B075</t>
  </si>
  <si>
    <t>T075</t>
  </si>
  <si>
    <t>B076</t>
  </si>
  <si>
    <t>T076</t>
  </si>
  <si>
    <t>B077</t>
  </si>
  <si>
    <t>T077</t>
  </si>
  <si>
    <t>B078</t>
  </si>
  <si>
    <t>T078</t>
  </si>
  <si>
    <t>B079</t>
  </si>
  <si>
    <t>T079</t>
  </si>
  <si>
    <t>B080</t>
  </si>
  <si>
    <t>T080</t>
  </si>
  <si>
    <t>B081</t>
  </si>
  <si>
    <t>T081</t>
  </si>
  <si>
    <t>B082</t>
  </si>
  <si>
    <t>T082</t>
  </si>
  <si>
    <t>B083</t>
  </si>
  <si>
    <t>T083</t>
  </si>
  <si>
    <t>B084</t>
  </si>
  <si>
    <t>T084</t>
  </si>
  <si>
    <t>B085</t>
  </si>
  <si>
    <t>T085</t>
  </si>
  <si>
    <t>B086</t>
  </si>
  <si>
    <t>T086</t>
  </si>
  <si>
    <t>B087</t>
  </si>
  <si>
    <t>T087</t>
  </si>
  <si>
    <t>B088</t>
  </si>
  <si>
    <t>T088</t>
  </si>
  <si>
    <t>B089</t>
  </si>
  <si>
    <t>T089</t>
  </si>
  <si>
    <t>B090</t>
  </si>
  <si>
    <t>T090</t>
  </si>
  <si>
    <t>B091</t>
  </si>
  <si>
    <t>T091</t>
  </si>
  <si>
    <t>B092</t>
  </si>
  <si>
    <t>T092</t>
  </si>
  <si>
    <t>B093</t>
  </si>
  <si>
    <t>T093</t>
  </si>
  <si>
    <t>B094</t>
  </si>
  <si>
    <t>T094</t>
  </si>
  <si>
    <t>B095</t>
  </si>
  <si>
    <t>T095</t>
  </si>
  <si>
    <t>B096</t>
  </si>
  <si>
    <t>T096</t>
  </si>
  <si>
    <t>B097</t>
  </si>
  <si>
    <t>T097</t>
  </si>
  <si>
    <t>B098</t>
  </si>
  <si>
    <t>T098</t>
  </si>
  <si>
    <t>B099</t>
  </si>
  <si>
    <t>T099</t>
  </si>
  <si>
    <t>B100</t>
  </si>
  <si>
    <t>T100</t>
  </si>
  <si>
    <t>B101</t>
  </si>
  <si>
    <t>T101</t>
  </si>
  <si>
    <t>B102</t>
  </si>
  <si>
    <t>T102</t>
  </si>
  <si>
    <t>B103</t>
  </si>
  <si>
    <t>T103</t>
  </si>
  <si>
    <t>B104</t>
  </si>
  <si>
    <t>T104</t>
  </si>
  <si>
    <t>B105</t>
  </si>
  <si>
    <t>T105</t>
  </si>
  <si>
    <t>B106</t>
  </si>
  <si>
    <t>T106</t>
  </si>
  <si>
    <t>B107</t>
  </si>
  <si>
    <t>T107</t>
  </si>
  <si>
    <t>B108</t>
  </si>
  <si>
    <t>T108</t>
  </si>
  <si>
    <t>B109</t>
  </si>
  <si>
    <t>T109</t>
  </si>
  <si>
    <t>B110</t>
  </si>
  <si>
    <t>T110</t>
  </si>
  <si>
    <t>B111</t>
  </si>
  <si>
    <t>T111</t>
  </si>
  <si>
    <t>B112</t>
  </si>
  <si>
    <t>T112</t>
  </si>
  <si>
    <t>B113</t>
  </si>
  <si>
    <t>T113</t>
  </si>
  <si>
    <t>B114</t>
  </si>
  <si>
    <t>T114</t>
  </si>
  <si>
    <t>B115</t>
  </si>
  <si>
    <t>T115</t>
  </si>
  <si>
    <t>B116</t>
  </si>
  <si>
    <t>T116</t>
  </si>
  <si>
    <t>B117</t>
  </si>
  <si>
    <t>T117</t>
  </si>
  <si>
    <t>B118</t>
  </si>
  <si>
    <t>T118</t>
  </si>
  <si>
    <t>B119</t>
  </si>
  <si>
    <t>T119</t>
  </si>
  <si>
    <t>B120</t>
  </si>
  <si>
    <t>T120</t>
  </si>
  <si>
    <t>B121</t>
  </si>
  <si>
    <t>T121</t>
  </si>
  <si>
    <t>B122</t>
  </si>
  <si>
    <t>T122</t>
  </si>
  <si>
    <t>B123</t>
  </si>
  <si>
    <t>T123</t>
  </si>
  <si>
    <t>B124</t>
  </si>
  <si>
    <t>T124</t>
  </si>
  <si>
    <t>B125</t>
  </si>
  <si>
    <t>T125</t>
  </si>
  <si>
    <t>B126</t>
  </si>
  <si>
    <t>T126</t>
  </si>
  <si>
    <t>B127</t>
  </si>
  <si>
    <t>T127</t>
  </si>
  <si>
    <t>B128</t>
  </si>
  <si>
    <t>T128</t>
  </si>
  <si>
    <t>B129</t>
  </si>
  <si>
    <t>T129</t>
  </si>
  <si>
    <t>B130</t>
  </si>
  <si>
    <t>T130</t>
  </si>
  <si>
    <t>B131</t>
  </si>
  <si>
    <t>T131</t>
  </si>
  <si>
    <t>B132</t>
  </si>
  <si>
    <t>T132</t>
  </si>
  <si>
    <t>B133</t>
  </si>
  <si>
    <t>T133</t>
  </si>
  <si>
    <t>B134</t>
  </si>
  <si>
    <t>T134</t>
  </si>
  <si>
    <t>B135</t>
  </si>
  <si>
    <t>T135</t>
  </si>
  <si>
    <t>B136</t>
  </si>
  <si>
    <t>T136</t>
  </si>
  <si>
    <t>B137</t>
  </si>
  <si>
    <t>T137</t>
  </si>
  <si>
    <t>B138</t>
  </si>
  <si>
    <t>T138</t>
  </si>
  <si>
    <t>B139</t>
  </si>
  <si>
    <t>T139</t>
  </si>
  <si>
    <t>B140</t>
  </si>
  <si>
    <t>T140</t>
  </si>
  <si>
    <t>B141</t>
  </si>
  <si>
    <t>T141</t>
  </si>
  <si>
    <t>B142</t>
  </si>
  <si>
    <t>T142</t>
  </si>
  <si>
    <t>B143</t>
  </si>
  <si>
    <t>T143</t>
  </si>
  <si>
    <t>B144</t>
  </si>
  <si>
    <t>T144</t>
  </si>
  <si>
    <t>B145</t>
  </si>
  <si>
    <t>T145</t>
  </si>
  <si>
    <t>B146</t>
  </si>
  <si>
    <t>T146</t>
  </si>
  <si>
    <t>B147</t>
  </si>
  <si>
    <t>T147</t>
  </si>
  <si>
    <t>B148</t>
  </si>
  <si>
    <t>T148</t>
  </si>
  <si>
    <t>B149</t>
  </si>
  <si>
    <t>T149</t>
  </si>
  <si>
    <t>B150</t>
  </si>
  <si>
    <t>T150</t>
  </si>
  <si>
    <t>B151</t>
  </si>
  <si>
    <t>T151</t>
  </si>
  <si>
    <t>B152</t>
  </si>
  <si>
    <t>T152</t>
  </si>
  <si>
    <t>B153</t>
  </si>
  <si>
    <t>T153</t>
  </si>
  <si>
    <t>B154</t>
  </si>
  <si>
    <t>T154</t>
  </si>
  <si>
    <t>B155</t>
  </si>
  <si>
    <t>T155</t>
  </si>
  <si>
    <t>B156</t>
  </si>
  <si>
    <t>T156</t>
  </si>
  <si>
    <t>B157</t>
  </si>
  <si>
    <t>T157</t>
  </si>
  <si>
    <t>B158</t>
  </si>
  <si>
    <t>T158</t>
  </si>
  <si>
    <t>B159</t>
  </si>
  <si>
    <t>T159</t>
  </si>
  <si>
    <t>B160</t>
  </si>
  <si>
    <t>T160</t>
  </si>
  <si>
    <t>B161</t>
  </si>
  <si>
    <t>T161</t>
  </si>
  <si>
    <t>B162</t>
  </si>
  <si>
    <t>T162</t>
  </si>
  <si>
    <t>B163</t>
  </si>
  <si>
    <t>T163</t>
  </si>
  <si>
    <t>B164</t>
  </si>
  <si>
    <t>T164</t>
  </si>
  <si>
    <t>B165</t>
  </si>
  <si>
    <t>T165</t>
  </si>
  <si>
    <t>B166</t>
  </si>
  <si>
    <t>T166</t>
  </si>
  <si>
    <t>B167</t>
  </si>
  <si>
    <t>T167</t>
  </si>
  <si>
    <t>B168</t>
  </si>
  <si>
    <t>T168</t>
  </si>
  <si>
    <t>B169</t>
  </si>
  <si>
    <t>T169</t>
  </si>
  <si>
    <t>B170</t>
  </si>
  <si>
    <t>T170</t>
  </si>
  <si>
    <t>B171</t>
  </si>
  <si>
    <t>T171</t>
  </si>
  <si>
    <t>B172</t>
  </si>
  <si>
    <t>T172</t>
  </si>
  <si>
    <t>B173</t>
  </si>
  <si>
    <t>T173</t>
  </si>
  <si>
    <t>B174</t>
  </si>
  <si>
    <t>T174</t>
  </si>
  <si>
    <t>B175</t>
  </si>
  <si>
    <t>T175</t>
  </si>
  <si>
    <t>B176</t>
  </si>
  <si>
    <t>T176</t>
  </si>
  <si>
    <t>B177</t>
  </si>
  <si>
    <t>T177</t>
  </si>
  <si>
    <t>B178</t>
  </si>
  <si>
    <t>T178</t>
  </si>
  <si>
    <t>B179</t>
  </si>
  <si>
    <t>T179</t>
  </si>
  <si>
    <t>B180</t>
  </si>
  <si>
    <t>T180</t>
  </si>
  <si>
    <t>B181</t>
  </si>
  <si>
    <t>T181</t>
  </si>
  <si>
    <t>B182</t>
  </si>
  <si>
    <t>T182</t>
  </si>
  <si>
    <t>B183</t>
  </si>
  <si>
    <t>T183</t>
  </si>
  <si>
    <t>B184</t>
  </si>
  <si>
    <t>T184</t>
  </si>
  <si>
    <t>B185</t>
  </si>
  <si>
    <t>T185</t>
  </si>
  <si>
    <t>B186</t>
  </si>
  <si>
    <t>T186</t>
  </si>
  <si>
    <t>B187</t>
  </si>
  <si>
    <t>T187</t>
  </si>
  <si>
    <t>B188</t>
  </si>
  <si>
    <t>T188</t>
  </si>
  <si>
    <t>B189</t>
  </si>
  <si>
    <t>T189</t>
  </si>
  <si>
    <t>B190</t>
  </si>
  <si>
    <t>T190</t>
  </si>
  <si>
    <t>B191</t>
  </si>
  <si>
    <t>T191</t>
  </si>
  <si>
    <t>B192</t>
  </si>
  <si>
    <t>T192</t>
  </si>
  <si>
    <t>B193</t>
  </si>
  <si>
    <t>T193</t>
  </si>
  <si>
    <t>B194</t>
  </si>
  <si>
    <t>T194</t>
  </si>
  <si>
    <t>B195</t>
  </si>
  <si>
    <t>T195</t>
  </si>
  <si>
    <t>B196</t>
  </si>
  <si>
    <t>T196</t>
  </si>
  <si>
    <t>B197</t>
  </si>
  <si>
    <t>T197</t>
  </si>
  <si>
    <t>B198</t>
  </si>
  <si>
    <t>T198</t>
  </si>
  <si>
    <t>B199</t>
  </si>
  <si>
    <t>T199</t>
  </si>
  <si>
    <t>B200</t>
  </si>
  <si>
    <t>T200</t>
  </si>
  <si>
    <t>first_name</t>
  </si>
  <si>
    <t>last_name</t>
  </si>
  <si>
    <t>specialization</t>
  </si>
  <si>
    <t>phone_number</t>
  </si>
  <si>
    <t>years_experience</t>
  </si>
  <si>
    <t>hospital_branch</t>
  </si>
  <si>
    <t>email</t>
  </si>
  <si>
    <t>David</t>
  </si>
  <si>
    <t>Taylor</t>
  </si>
  <si>
    <t>Dermatology</t>
  </si>
  <si>
    <t>Westside Clinic</t>
  </si>
  <si>
    <t>dr.david.taylor@hospital.com</t>
  </si>
  <si>
    <t>Jane</t>
  </si>
  <si>
    <t>Davis</t>
  </si>
  <si>
    <t>Pediatrics</t>
  </si>
  <si>
    <t>Eastside Clinic</t>
  </si>
  <si>
    <t>dr.jane.davis@hospital.com</t>
  </si>
  <si>
    <t>Smith</t>
  </si>
  <si>
    <t>dr.jane.smith@hospital.com</t>
  </si>
  <si>
    <t>Jones</t>
  </si>
  <si>
    <t>Central Hospital</t>
  </si>
  <si>
    <t>dr.david.jones@hospital.com</t>
  </si>
  <si>
    <t>Sarah</t>
  </si>
  <si>
    <t>dr.sarah.taylor@hospital.com</t>
  </si>
  <si>
    <t>Alex</t>
  </si>
  <si>
    <t>dr.alex.davis@hospital.com</t>
  </si>
  <si>
    <t>Robert</t>
  </si>
  <si>
    <t>Oncology</t>
  </si>
  <si>
    <t>dr.robert.davis@hospital.com</t>
  </si>
  <si>
    <t>Linda</t>
  </si>
  <si>
    <t>Brown</t>
  </si>
  <si>
    <t>dr.linda.brown@hospital.com</t>
  </si>
  <si>
    <t>dr.sarah.smith@hospital.com</t>
  </si>
  <si>
    <t>Wilson</t>
  </si>
  <si>
    <t>dr.linda.wilson@hospital.com</t>
  </si>
  <si>
    <t>gender</t>
  </si>
  <si>
    <t>date_of_birth</t>
  </si>
  <si>
    <t>contact_number</t>
  </si>
  <si>
    <t>address</t>
  </si>
  <si>
    <t>registration_date</t>
  </si>
  <si>
    <t>insurance_provider</t>
  </si>
  <si>
    <t>insurance_number</t>
  </si>
  <si>
    <t>Williams</t>
  </si>
  <si>
    <t>F</t>
  </si>
  <si>
    <t>789 Pine Rd</t>
  </si>
  <si>
    <t>WellnessCorp</t>
  </si>
  <si>
    <t>INS840674</t>
  </si>
  <si>
    <t>david.williams@mail.com</t>
  </si>
  <si>
    <t>Emily</t>
  </si>
  <si>
    <t>321 Maple Dr</t>
  </si>
  <si>
    <t>PulseSecure</t>
  </si>
  <si>
    <t>INS354079</t>
  </si>
  <si>
    <t>emily.smith@mail.com</t>
  </si>
  <si>
    <t>Laura</t>
  </si>
  <si>
    <t>M</t>
  </si>
  <si>
    <t>INS650929</t>
  </si>
  <si>
    <t>laura.jones@mail.com</t>
  </si>
  <si>
    <t>Michael</t>
  </si>
  <si>
    <t>Johnson</t>
  </si>
  <si>
    <t>123 Elm St</t>
  </si>
  <si>
    <t>HealthIndia</t>
  </si>
  <si>
    <t>INS789944</t>
  </si>
  <si>
    <t>michael.johnson@mail.com</t>
  </si>
  <si>
    <t>MedCare Plus</t>
  </si>
  <si>
    <t>INS788105</t>
  </si>
  <si>
    <t>david.wilson@mail.com</t>
  </si>
  <si>
    <t>P006</t>
  </si>
  <si>
    <t>INS613758</t>
  </si>
  <si>
    <t>linda.jones@mail.com</t>
  </si>
  <si>
    <t>INS465890</t>
  </si>
  <si>
    <t>alex.johnson@mail.com</t>
  </si>
  <si>
    <t>456 Oak Ave</t>
  </si>
  <si>
    <t>INS545101</t>
  </si>
  <si>
    <t>david.davis@mail.com</t>
  </si>
  <si>
    <t>INS136631</t>
  </si>
  <si>
    <t>laura.davis@mail.com</t>
  </si>
  <si>
    <t>INS866577</t>
  </si>
  <si>
    <t>michael.taylor@mail.com</t>
  </si>
  <si>
    <t>INS172991</t>
  </si>
  <si>
    <t>emily.jones@mail.com</t>
  </si>
  <si>
    <t>INS104014</t>
  </si>
  <si>
    <t>INS373237</t>
  </si>
  <si>
    <t>laura.johnson@mail.com</t>
  </si>
  <si>
    <t>INS118070</t>
  </si>
  <si>
    <t>alex.taylor@mail.com</t>
  </si>
  <si>
    <t>P015</t>
  </si>
  <si>
    <t>INS922209</t>
  </si>
  <si>
    <t>sarah.johnson@mail.com</t>
  </si>
  <si>
    <t>INS156958</t>
  </si>
  <si>
    <t>INS182074</t>
  </si>
  <si>
    <t>jane.jones@mail.com</t>
  </si>
  <si>
    <t>INS635017</t>
  </si>
  <si>
    <t>laura.wilson@mail.com</t>
  </si>
  <si>
    <t>Miller</t>
  </si>
  <si>
    <t>INS855073</t>
  </si>
  <si>
    <t>sarah.miller@mail.com</t>
  </si>
  <si>
    <t>Moore</t>
  </si>
  <si>
    <t>INS276089</t>
  </si>
  <si>
    <t>jane.moore@mail.com</t>
  </si>
  <si>
    <t>INS297392</t>
  </si>
  <si>
    <t>michael.wilson@mail.com</t>
  </si>
  <si>
    <t>John</t>
  </si>
  <si>
    <t>INS258823</t>
  </si>
  <si>
    <t>john.brown@mail.com</t>
  </si>
  <si>
    <t>INS730152</t>
  </si>
  <si>
    <t>linda.johnson@mail.com</t>
  </si>
  <si>
    <t>INS493002</t>
  </si>
  <si>
    <t>sarah.brown@mail.com</t>
  </si>
  <si>
    <t>INS833429</t>
  </si>
  <si>
    <t>robert.wilson@mail.com</t>
  </si>
  <si>
    <t>INS598863</t>
  </si>
  <si>
    <t>john.taylor@mail.com</t>
  </si>
  <si>
    <t>INS467654</t>
  </si>
  <si>
    <t>linda.moore@mail.com</t>
  </si>
  <si>
    <t>INS679036</t>
  </si>
  <si>
    <t>alex.moore@mail.com</t>
  </si>
  <si>
    <t>INS630089</t>
  </si>
  <si>
    <t>david.smith@mail.com</t>
  </si>
  <si>
    <t>INS250262</t>
  </si>
  <si>
    <t>emily.moore@mail.com</t>
  </si>
  <si>
    <t>INS542905</t>
  </si>
  <si>
    <t>robert.miller@mail.com</t>
  </si>
  <si>
    <t>INS335362</t>
  </si>
  <si>
    <t>INS544209</t>
  </si>
  <si>
    <t>INS653880</t>
  </si>
  <si>
    <t>alex.smith@mail.com</t>
  </si>
  <si>
    <t>INS897079</t>
  </si>
  <si>
    <t>INS764076</t>
  </si>
  <si>
    <t>INS319963</t>
  </si>
  <si>
    <t>robert.williams@mail.com</t>
  </si>
  <si>
    <t>INS580761</t>
  </si>
  <si>
    <t>INS348710</t>
  </si>
  <si>
    <t>jane.wilson@mail.com</t>
  </si>
  <si>
    <t>INS320984</t>
  </si>
  <si>
    <t>emily.williams@mail.com</t>
  </si>
  <si>
    <t>INS997059</t>
  </si>
  <si>
    <t>INS956748</t>
  </si>
  <si>
    <t>jane.smith@mail.com</t>
  </si>
  <si>
    <t>INS882355</t>
  </si>
  <si>
    <t>linda.brown@mail.com</t>
  </si>
  <si>
    <t>INS364512</t>
  </si>
  <si>
    <t>robert.taylor@mail.com</t>
  </si>
  <si>
    <t>INS701863</t>
  </si>
  <si>
    <t>linda.miller@mail.com</t>
  </si>
  <si>
    <t>INS368799</t>
  </si>
  <si>
    <t>INS337549</t>
  </si>
  <si>
    <t>INS694319</t>
  </si>
  <si>
    <t>emily.miller@mail.com</t>
  </si>
  <si>
    <t>INS584299</t>
  </si>
  <si>
    <t>david.moore@mail.com</t>
  </si>
  <si>
    <t>INS712210</t>
  </si>
  <si>
    <t>treatment_type</t>
  </si>
  <si>
    <t>description</t>
  </si>
  <si>
    <t>cost</t>
  </si>
  <si>
    <t>treatment_date</t>
  </si>
  <si>
    <t>Chemotherapy</t>
  </si>
  <si>
    <t>Basic screening</t>
  </si>
  <si>
    <t>MRI</t>
  </si>
  <si>
    <t>Advanced protocol</t>
  </si>
  <si>
    <t>Standard procedure</t>
  </si>
  <si>
    <t>ECG</t>
  </si>
  <si>
    <t>Physiotherapy</t>
  </si>
  <si>
    <t>X-Ray</t>
  </si>
  <si>
    <t>Gender</t>
  </si>
  <si>
    <t>Date_of_birth</t>
  </si>
  <si>
    <t>Contact_number</t>
  </si>
  <si>
    <t>Address</t>
  </si>
  <si>
    <t>Registration_date</t>
  </si>
  <si>
    <t>Specialization</t>
  </si>
  <si>
    <t>Phone_number</t>
  </si>
  <si>
    <t>Hospital_branch</t>
  </si>
  <si>
    <t>Patient Email</t>
  </si>
  <si>
    <t>Appointment_date</t>
  </si>
  <si>
    <t>Appointment_time</t>
  </si>
  <si>
    <t>Reason_for_visit</t>
  </si>
  <si>
    <t>Status</t>
  </si>
  <si>
    <t>Treatment_type</t>
  </si>
  <si>
    <t>Cost</t>
  </si>
  <si>
    <t>Treatment_date</t>
  </si>
  <si>
    <t>Bill_date</t>
  </si>
  <si>
    <t>Amount</t>
  </si>
  <si>
    <t>Payment_method</t>
  </si>
  <si>
    <t>Payment_status</t>
  </si>
  <si>
    <t>Patient Full Name</t>
  </si>
  <si>
    <t>Alex Smith</t>
  </si>
  <si>
    <t>Alex Moore</t>
  </si>
  <si>
    <t>Emily Miller</t>
  </si>
  <si>
    <t>Robert Wilson</t>
  </si>
  <si>
    <t>Emily Williams</t>
  </si>
  <si>
    <t>Linda Miller</t>
  </si>
  <si>
    <t>David Williams</t>
  </si>
  <si>
    <t>Michael Taylor</t>
  </si>
  <si>
    <t>Jane Wilson</t>
  </si>
  <si>
    <t>David Wilson</t>
  </si>
  <si>
    <t>John Brown</t>
  </si>
  <si>
    <t>David Smith</t>
  </si>
  <si>
    <t>Laura Jones</t>
  </si>
  <si>
    <t>Laura Davis</t>
  </si>
  <si>
    <t>John Taylor</t>
  </si>
  <si>
    <t>Robert Williams</t>
  </si>
  <si>
    <t>Alex Taylor</t>
  </si>
  <si>
    <t>Jane Moore</t>
  </si>
  <si>
    <t>David Moore</t>
  </si>
  <si>
    <t>Emily Moore</t>
  </si>
  <si>
    <t>Michael Wilson</t>
  </si>
  <si>
    <t>Linda Johnson</t>
  </si>
  <si>
    <t>Robert Miller</t>
  </si>
  <si>
    <t>Sarah Miller</t>
  </si>
  <si>
    <t>Michael Johnson</t>
  </si>
  <si>
    <t>Sarah Brown</t>
  </si>
  <si>
    <t>Emily Smith</t>
  </si>
  <si>
    <t>Linda Moore</t>
  </si>
  <si>
    <t>Laura Wilson</t>
  </si>
  <si>
    <t>Linda Brown</t>
  </si>
  <si>
    <t>Robert Taylor</t>
  </si>
  <si>
    <t>Laura Johnson</t>
  </si>
  <si>
    <t>Jane Jones</t>
  </si>
  <si>
    <t>David Davis</t>
  </si>
  <si>
    <t>Alex Johnson</t>
  </si>
  <si>
    <t>Emily Jones</t>
  </si>
  <si>
    <t>Jane Smith</t>
  </si>
  <si>
    <t>Doctor Full Name</t>
  </si>
  <si>
    <t>Sarah Smith</t>
  </si>
  <si>
    <t>David Jones</t>
  </si>
  <si>
    <t>Alex Davis</t>
  </si>
  <si>
    <t>Robert Davis</t>
  </si>
  <si>
    <t>Linda Wilson</t>
  </si>
  <si>
    <t>Jane Davis</t>
  </si>
  <si>
    <t>David Taylor</t>
  </si>
  <si>
    <t>Sarah Taylor</t>
  </si>
  <si>
    <t xml:space="preserve"> </t>
  </si>
  <si>
    <t>STEP</t>
  </si>
  <si>
    <t>SHEET</t>
  </si>
  <si>
    <t>CHANGE MADE</t>
  </si>
  <si>
    <t>Hospital management data</t>
  </si>
  <si>
    <t>All datasets</t>
  </si>
  <si>
    <t>Checked Missing Values - No missing values found</t>
  </si>
  <si>
    <t>Which doctor handles the highest number of appointments</t>
  </si>
  <si>
    <t>How many appointments were recorded</t>
  </si>
  <si>
    <t>How do appointment statuses vary across hospital branches?</t>
  </si>
  <si>
    <t>How does appointment status differ by specialization?</t>
  </si>
  <si>
    <t>Which treatment type generates the highest total billing amount?</t>
  </si>
  <si>
    <t>How does total billing change over time?</t>
  </si>
  <si>
    <t>Checked Duplicate appointment IDs, bill IDs &amp; treatment IDs - No duplicates found</t>
  </si>
  <si>
    <t xml:space="preserve">To ensure each record is unique &amp; avoid duplicate records in analysis </t>
  </si>
  <si>
    <t>To ensure the dataset is complete &amp; suitable for analysis</t>
  </si>
  <si>
    <t>To connect patient details with appointment records</t>
  </si>
  <si>
    <t xml:space="preserve">To connect doctor details with appointment records for doctor &amp; specialization analysis </t>
  </si>
  <si>
    <t xml:space="preserve">To connect treatment details &amp; cost with appointment records </t>
  </si>
  <si>
    <t>To connect billing details with the relevant appointment records</t>
  </si>
  <si>
    <t>To create a complete patient name for easier identification &amp; analysis</t>
  </si>
  <si>
    <t>To create a complete docctor name for easier identification &amp; analysis</t>
  </si>
  <si>
    <t xml:space="preserve">To ensure consistent data types and accurate calculations </t>
  </si>
  <si>
    <t>Sl No</t>
  </si>
  <si>
    <t>What percentage of appointments were no-shows</t>
  </si>
  <si>
    <t>What is the appointment completion rate</t>
  </si>
  <si>
    <t>What is the total billing amount</t>
  </si>
  <si>
    <t>How much of the billing amount has been paid</t>
  </si>
  <si>
    <t>What percentage of the total billing amount has been paid</t>
  </si>
  <si>
    <t xml:space="preserve">Which treatment generates the highest total treatment cost </t>
  </si>
  <si>
    <t>Row Labels</t>
  </si>
  <si>
    <t>Grand Total</t>
  </si>
  <si>
    <t>Count of Appointment_id</t>
  </si>
  <si>
    <t>Appointment status by specialization</t>
  </si>
  <si>
    <t xml:space="preserve">Doctor </t>
  </si>
  <si>
    <t>Sum of Amount</t>
  </si>
  <si>
    <t>Treatment - Billing amount</t>
  </si>
  <si>
    <t>What is the distribution of appointments by status?</t>
  </si>
  <si>
    <t>Jan</t>
  </si>
  <si>
    <t>Feb</t>
  </si>
  <si>
    <t>Jun</t>
  </si>
  <si>
    <t>Sep</t>
  </si>
  <si>
    <t>Month - Billing amount</t>
  </si>
  <si>
    <t>Appointment Status</t>
  </si>
  <si>
    <t>Appointment status by Branch</t>
  </si>
  <si>
    <t>QUESTIONS</t>
  </si>
  <si>
    <t>CALCULATIONS</t>
  </si>
  <si>
    <t>REASON</t>
  </si>
  <si>
    <r>
      <t xml:space="preserve">Combined patient information with appointment data using </t>
    </r>
    <r>
      <rPr>
        <b/>
        <sz val="14"/>
        <color rgb="FFFFC000"/>
        <rFont val="Constantia"/>
        <family val="1"/>
      </rPr>
      <t>VLOOKUP</t>
    </r>
  </si>
  <si>
    <r>
      <t xml:space="preserve">Added doctor information using </t>
    </r>
    <r>
      <rPr>
        <b/>
        <sz val="14"/>
        <color rgb="FFFFC000"/>
        <rFont val="Constantia"/>
        <family val="1"/>
      </rPr>
      <t>VLOOKUP</t>
    </r>
  </si>
  <si>
    <r>
      <t xml:space="preserve">Added treatment information using </t>
    </r>
    <r>
      <rPr>
        <b/>
        <sz val="14"/>
        <color rgb="FFFFC000"/>
        <rFont val="Constantia"/>
        <family val="1"/>
      </rPr>
      <t>VLOOKUP</t>
    </r>
  </si>
  <si>
    <r>
      <t xml:space="preserve">Added Billing  information using </t>
    </r>
    <r>
      <rPr>
        <b/>
        <sz val="14"/>
        <color rgb="FFFFC000"/>
        <rFont val="Constantia"/>
        <family val="1"/>
      </rPr>
      <t>VLOOKUP</t>
    </r>
  </si>
  <si>
    <r>
      <t xml:space="preserve">Combined patient first name and last name using </t>
    </r>
    <r>
      <rPr>
        <b/>
        <sz val="14"/>
        <color rgb="FFFFC000"/>
        <rFont val="Constantia"/>
        <family val="1"/>
      </rPr>
      <t>CONCAT</t>
    </r>
    <r>
      <rPr>
        <sz val="14"/>
        <color rgb="FFFFC000"/>
        <rFont val="Constantia"/>
        <family val="1"/>
      </rPr>
      <t xml:space="preserve"> </t>
    </r>
    <r>
      <rPr>
        <sz val="14"/>
        <color theme="0"/>
        <rFont val="Constantia"/>
        <family val="1"/>
      </rPr>
      <t>Function</t>
    </r>
  </si>
  <si>
    <r>
      <t xml:space="preserve">Combined Doctor first name and last name using </t>
    </r>
    <r>
      <rPr>
        <b/>
        <sz val="14"/>
        <color rgb="FFFFC000"/>
        <rFont val="Constantia"/>
        <family val="1"/>
      </rPr>
      <t>CONCAT</t>
    </r>
    <r>
      <rPr>
        <b/>
        <sz val="14"/>
        <color theme="0"/>
        <rFont val="Constantia"/>
        <family val="1"/>
      </rPr>
      <t xml:space="preserve"> </t>
    </r>
    <r>
      <rPr>
        <sz val="14"/>
        <color theme="0"/>
        <rFont val="Constantia"/>
        <family val="1"/>
      </rPr>
      <t>Function</t>
    </r>
  </si>
  <si>
    <t>TOTAL APPOINTMENTS</t>
  </si>
  <si>
    <t>TOTAL BILL AMOUNT</t>
  </si>
  <si>
    <t>AVERAGE TREATMENT  COST</t>
  </si>
  <si>
    <t>Appointment_ID</t>
  </si>
  <si>
    <t>Patient_ID</t>
  </si>
  <si>
    <t>Doctor_ID</t>
  </si>
  <si>
    <t>Treatment_ID</t>
  </si>
  <si>
    <t>Bill_ID</t>
  </si>
  <si>
    <r>
      <t xml:space="preserve">Checked &amp; Standardized data types : Dates as </t>
    </r>
    <r>
      <rPr>
        <b/>
        <sz val="14"/>
        <color rgb="FFFFC000"/>
        <rFont val="Constantia"/>
        <family val="1"/>
      </rPr>
      <t>DATE</t>
    </r>
    <r>
      <rPr>
        <sz val="14"/>
        <color theme="0"/>
        <rFont val="Constantia"/>
        <family val="1"/>
      </rPr>
      <t xml:space="preserve">, Appointment time as </t>
    </r>
    <r>
      <rPr>
        <b/>
        <sz val="14"/>
        <color rgb="FFFFC000"/>
        <rFont val="Constantia"/>
        <family val="1"/>
      </rPr>
      <t>TIME</t>
    </r>
    <r>
      <rPr>
        <sz val="14"/>
        <color theme="0"/>
        <rFont val="Constantia"/>
        <family val="1"/>
      </rPr>
      <t xml:space="preserve">, Phone/Contact numbers as </t>
    </r>
    <r>
      <rPr>
        <b/>
        <sz val="14"/>
        <color rgb="FFFFC000"/>
        <rFont val="Constantia"/>
        <family val="1"/>
      </rPr>
      <t xml:space="preserve">TEXT </t>
    </r>
    <r>
      <rPr>
        <sz val="14"/>
        <color theme="0"/>
        <rFont val="Constantia"/>
        <family val="1"/>
      </rPr>
      <t xml:space="preserve">and Treatment cost / Bill Amount as </t>
    </r>
    <r>
      <rPr>
        <b/>
        <sz val="14"/>
        <color rgb="FFFFC000"/>
        <rFont val="Constantia"/>
        <family val="1"/>
      </rPr>
      <t>CURRENCY</t>
    </r>
  </si>
  <si>
    <t>Average of Cost</t>
  </si>
  <si>
    <t>What is the average treatment cost</t>
  </si>
  <si>
    <t xml:space="preserve">COMPLETION RATE </t>
  </si>
  <si>
    <t>NO SHOW RATE</t>
  </si>
  <si>
    <t>May</t>
  </si>
  <si>
    <t>INSIGHTS</t>
  </si>
  <si>
    <t>RECOMMENDATIONS</t>
  </si>
  <si>
    <t>The hospital can send appointment reminders &amp; confirmation messages to reduce no-shows.</t>
  </si>
  <si>
    <t>Central Hospital has the highest number of appointments (84).</t>
  </si>
  <si>
    <t>Adequate doctors , staff &amp; facilities should be allocated to Central Hospital according to the higher patient demand.</t>
  </si>
  <si>
    <t>Pediatrics has the highest number of appointments (98).</t>
  </si>
  <si>
    <t>More consultation slots and resources can be provided to the Pediatrics department.</t>
  </si>
  <si>
    <t>DR Sarah Taylor handles the highest number of appointments (29).</t>
  </si>
  <si>
    <t xml:space="preserve">Doctor workload should be monitored and appointments can be distributed more evenly when necessary. </t>
  </si>
  <si>
    <t>The hospital can monitor demand and resource requirements for high-revenue treatments such as chemotherapy.</t>
  </si>
  <si>
    <t>MRI has a high average treatment cost compared with the other treatments.</t>
  </si>
  <si>
    <t>The hospital should monitor MRI utilization and pricing to maintain efficient service delivery.</t>
  </si>
  <si>
    <t>Only about 36% of the total billing amount has been paid.</t>
  </si>
  <si>
    <t>The hospital should follow up on pending payments and failed transactions to improve payment collection and cash flow.</t>
  </si>
  <si>
    <t>The hospital could confirm X-RAY appointments in advance and allow easy rescheduling.</t>
  </si>
  <si>
    <t>Management should investigate the reasons for the hight no-show rate at Central Hospital strengthen appointment reminders.</t>
  </si>
  <si>
    <t>The hospital should review appointment scheduling in Pediatrics and improve confirmation and rescheduling procedures.</t>
  </si>
  <si>
    <t>Management can monitor treatment mix and costs at Westside Clinic to understand the reason for the higher average cost.</t>
  </si>
  <si>
    <t>Cash is the most frequently used payment method, with 81 transactions.</t>
  </si>
  <si>
    <t>The hospital can continue supporting cash payments while encouraging convenient digital payment options.</t>
  </si>
  <si>
    <t>Credit-Card payments have more pending transactions (23) than paid transactions (22).</t>
  </si>
  <si>
    <t>The hospital should check pending card transactions and provide quick payment-failure resolution.</t>
  </si>
  <si>
    <t>Insurance has 27 pending and 25 failed transactions.</t>
  </si>
  <si>
    <t>Insurance claims and payment processing should be monitored closely to reduce delays and failures.</t>
  </si>
  <si>
    <t>There are 45 Checkup appointments, the highest among the reasons for visit.</t>
  </si>
  <si>
    <t>The hospital can ensure enough consultation capacity for routine checkups.</t>
  </si>
  <si>
    <t xml:space="preserve">The hospital should ensure adequte emergency resources and monitor emergency treatment costs. </t>
  </si>
  <si>
    <r>
      <t>Westside Clinic has the highest average treatment cost (</t>
    </r>
    <r>
      <rPr>
        <sz val="14"/>
        <color theme="0"/>
        <rFont val="Calibri"/>
        <family val="2"/>
      </rPr>
      <t>₹</t>
    </r>
    <r>
      <rPr>
        <sz val="14"/>
        <color theme="0"/>
        <rFont val="Calibri"/>
        <family val="2"/>
        <scheme val="minor"/>
      </rPr>
      <t xml:space="preserve"> 2966.28), despite having fewer appointments than Central Hospital.</t>
    </r>
  </si>
  <si>
    <t>Only 23% of appointments are completed, while  26% are no-shows.</t>
  </si>
  <si>
    <t>Billing varies considerably from month to month, with May having the highest the billing &amp; July the lowest.</t>
  </si>
  <si>
    <t>Management should investigate the factors responsible for these fluctuations and improve planning for low-billing periods</t>
  </si>
  <si>
    <t>Billing increases significantly from March to May, indicating a period of stronger hospital revenue.</t>
  </si>
  <si>
    <t>Adequate staff, treatment capacity and medical resources should be maintained during periods of increasing demand.</t>
  </si>
  <si>
    <t>After reaching its peak in May,  billing declines sharply in June &amp; July before recovering in August and September</t>
  </si>
  <si>
    <t>Management should compare these months using the Month, Treatement Type, Branch and Status to identify the specific factors behind the decline &amp; recovery.</t>
  </si>
  <si>
    <r>
      <t>Chemotherapy generates the highest total billing amount (</t>
    </r>
    <r>
      <rPr>
        <sz val="14"/>
        <color rgb="FFFFC000"/>
        <rFont val="Calibri"/>
        <family val="2"/>
      </rPr>
      <t xml:space="preserve">₹ </t>
    </r>
    <r>
      <rPr>
        <sz val="14"/>
        <color rgb="FFFFC000"/>
        <rFont val="Calibri"/>
        <family val="2"/>
        <scheme val="minor"/>
      </rPr>
      <t>1,15,183.68)</t>
    </r>
  </si>
  <si>
    <r>
      <t>Emergency visits have the highest average treatment cost (</t>
    </r>
    <r>
      <rPr>
        <sz val="14"/>
        <color rgb="FFFFC000"/>
        <rFont val="Calibri"/>
        <family val="2"/>
      </rPr>
      <t xml:space="preserve">₹ </t>
    </r>
    <r>
      <rPr>
        <sz val="14"/>
        <color rgb="FFFFC000"/>
        <rFont val="Calibri"/>
        <family val="2"/>
        <scheme val="minor"/>
      </rPr>
      <t>3186.29).</t>
    </r>
  </si>
  <si>
    <t>Cental Hospital has 31%  no-shows, the highest among the 3 branches.</t>
  </si>
  <si>
    <t>Pediatrics has 98 appointments, but also 25% cancellations and 26% no-shows.</t>
  </si>
  <si>
    <t>X-RAY has the highest number of no-shows among treatment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</si>
</sst>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F400]h:mm:ss\ AM/PM"/>
  </numFmts>
  <fonts count="24" x14ac:knownFonts="1">
    <font>
      <sz val="11"/>
      <color theme="1"/>
      <name val="Calibri"/>
      <family val="2"/>
      <scheme val="minor"/>
    </font>
    <font>
      <sz val="8"/>
      <name val="Calibri"/>
      <family val="2"/>
      <scheme val="minor"/>
    </font>
    <font>
      <sz val="9"/>
      <color theme="1"/>
      <name val="Calibri"/>
      <family val="2"/>
      <scheme val="minor"/>
    </font>
    <font>
      <sz val="11"/>
      <color theme="1"/>
      <name val="Calibri"/>
      <family val="2"/>
      <scheme val="minor"/>
    </font>
    <font>
      <b/>
      <sz val="11"/>
      <color theme="1"/>
      <name val="Bell MT"/>
      <family val="1"/>
    </font>
    <font>
      <sz val="12"/>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0"/>
      <name val="Constantia"/>
      <family val="1"/>
    </font>
    <font>
      <sz val="14"/>
      <color theme="0"/>
      <name val="Calibri"/>
      <family val="2"/>
      <scheme val="minor"/>
    </font>
    <font>
      <sz val="14"/>
      <color theme="0"/>
      <name val="Constantia"/>
      <family val="1"/>
    </font>
    <font>
      <sz val="14"/>
      <color theme="0"/>
      <name val="Bahnschrift SemiBold"/>
      <family val="2"/>
    </font>
    <font>
      <b/>
      <sz val="14"/>
      <color theme="0"/>
      <name val="Bell MT"/>
      <family val="1"/>
    </font>
    <font>
      <sz val="14"/>
      <color theme="0"/>
      <name val="Cascadia Code SemiBold"/>
      <family val="3"/>
    </font>
    <font>
      <b/>
      <sz val="14"/>
      <color rgb="FFFFC000"/>
      <name val="Constantia"/>
      <family val="1"/>
    </font>
    <font>
      <b/>
      <i/>
      <sz val="14"/>
      <color rgb="FFFFC000"/>
      <name val="Cascadia Mono SemiLight"/>
      <family val="3"/>
    </font>
    <font>
      <b/>
      <i/>
      <sz val="14"/>
      <color rgb="FFFFC000"/>
      <name val="Constantia"/>
      <family val="1"/>
    </font>
    <font>
      <sz val="14"/>
      <color rgb="FFFFC000"/>
      <name val="Constantia"/>
      <family val="1"/>
    </font>
    <font>
      <b/>
      <sz val="18"/>
      <color theme="0"/>
      <name val="Constantia"/>
      <family val="1"/>
    </font>
    <font>
      <sz val="14"/>
      <color theme="0"/>
      <name val="Calibri"/>
      <family val="2"/>
    </font>
    <font>
      <sz val="14"/>
      <color rgb="FFFFC000"/>
      <name val="Calibri"/>
      <family val="2"/>
      <scheme val="minor"/>
    </font>
    <font>
      <sz val="14"/>
      <color rgb="FFFFC000"/>
      <name val="Calibri"/>
      <family val="2"/>
    </font>
    <font>
      <sz val="11"/>
      <color rgb="FFFFC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4" tint="-0.499984740745262"/>
        <bgColor theme="4"/>
      </patternFill>
    </fill>
    <fill>
      <patternFill patternType="solid">
        <fgColor theme="4" tint="-0.499984740745262"/>
        <bgColor theme="4" tint="0.79998168889431442"/>
      </patternFill>
    </fill>
    <fill>
      <patternFill patternType="solid">
        <fgColor rgb="FF2D4069"/>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theme="4" tint="0.39997558519241921"/>
      </top>
      <bottom style="thin">
        <color indexed="64"/>
      </bottom>
      <diagonal/>
    </border>
    <border>
      <left/>
      <right style="thin">
        <color indexed="64"/>
      </right>
      <top style="thin">
        <color theme="4" tint="0.39997558519241921"/>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2D4069"/>
      </left>
      <right style="thin">
        <color rgb="FF2D4069"/>
      </right>
      <top style="thin">
        <color rgb="FF2D4069"/>
      </top>
      <bottom style="thin">
        <color rgb="FF2D4069"/>
      </bottom>
      <diagonal/>
    </border>
    <border>
      <left/>
      <right/>
      <top/>
      <bottom style="thin">
        <color theme="0"/>
      </bottom>
      <diagonal/>
    </border>
    <border>
      <left/>
      <right style="medium">
        <color theme="0"/>
      </right>
      <top/>
      <bottom style="medium">
        <color theme="0"/>
      </bottom>
      <diagonal/>
    </border>
    <border>
      <left style="medium">
        <color theme="0"/>
      </left>
      <right/>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s>
  <cellStyleXfs count="2">
    <xf numFmtId="0" fontId="0" fillId="0" borderId="0"/>
    <xf numFmtId="9" fontId="3" fillId="0" borderId="0" applyFont="0" applyFill="0" applyBorder="0" applyAlignment="0" applyProtection="0"/>
  </cellStyleXfs>
  <cellXfs count="79">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1" xfId="0" applyBorder="1"/>
    <xf numFmtId="14" fontId="0" fillId="0" borderId="1" xfId="0" applyNumberFormat="1" applyBorder="1"/>
    <xf numFmtId="22" fontId="0" fillId="0" borderId="1" xfId="0" applyNumberFormat="1" applyBorder="1"/>
    <xf numFmtId="0" fontId="0" fillId="2" borderId="0" xfId="0" applyFill="1"/>
    <xf numFmtId="0" fontId="5" fillId="2" borderId="0" xfId="0" applyFont="1" applyFill="1"/>
    <xf numFmtId="0" fontId="8" fillId="3" borderId="1" xfId="0" applyFont="1" applyFill="1" applyBorder="1"/>
    <xf numFmtId="0" fontId="9" fillId="3" borderId="1" xfId="0" applyFont="1" applyFill="1" applyBorder="1"/>
    <xf numFmtId="0" fontId="10" fillId="3" borderId="1" xfId="0" applyFont="1" applyFill="1" applyBorder="1"/>
    <xf numFmtId="0" fontId="11" fillId="3" borderId="1" xfId="0" applyFont="1" applyFill="1" applyBorder="1" applyAlignment="1">
      <alignment horizontal="center" vertical="center"/>
    </xf>
    <xf numFmtId="0" fontId="11" fillId="3" borderId="1" xfId="0" applyFont="1" applyFill="1" applyBorder="1"/>
    <xf numFmtId="0" fontId="2" fillId="2" borderId="0" xfId="0" applyFont="1" applyFill="1"/>
    <xf numFmtId="0" fontId="12" fillId="4" borderId="2" xfId="0" applyFont="1" applyFill="1" applyBorder="1" applyAlignment="1">
      <alignment horizontal="center"/>
    </xf>
    <xf numFmtId="0" fontId="12" fillId="4" borderId="1" xfId="0" applyFont="1" applyFill="1" applyBorder="1" applyAlignment="1">
      <alignment horizontal="center"/>
    </xf>
    <xf numFmtId="0" fontId="11" fillId="5" borderId="4" xfId="0" applyFont="1" applyFill="1" applyBorder="1" applyAlignment="1">
      <alignment horizontal="center" vertical="center"/>
    </xf>
    <xf numFmtId="0" fontId="11" fillId="5" borderId="1" xfId="0" applyFont="1" applyFill="1" applyBorder="1" applyAlignment="1">
      <alignment vertical="center"/>
    </xf>
    <xf numFmtId="0" fontId="11" fillId="5" borderId="1" xfId="0" applyFont="1" applyFill="1" applyBorder="1" applyAlignment="1">
      <alignment vertical="center" wrapText="1"/>
    </xf>
    <xf numFmtId="0" fontId="11" fillId="3" borderId="4" xfId="0" applyFont="1" applyFill="1" applyBorder="1" applyAlignment="1">
      <alignment horizontal="center" vertical="center"/>
    </xf>
    <xf numFmtId="0" fontId="11" fillId="3" borderId="3" xfId="0" applyFont="1" applyFill="1" applyBorder="1" applyAlignment="1">
      <alignment vertical="center"/>
    </xf>
    <xf numFmtId="0" fontId="11" fillId="3" borderId="3" xfId="0" applyFont="1" applyFill="1" applyBorder="1" applyAlignment="1">
      <alignment vertical="center" wrapText="1"/>
    </xf>
    <xf numFmtId="0" fontId="11" fillId="3" borderId="1" xfId="0" applyFont="1" applyFill="1" applyBorder="1" applyAlignment="1">
      <alignment vertical="center"/>
    </xf>
    <xf numFmtId="0" fontId="11" fillId="3" borderId="1" xfId="0" applyFont="1" applyFill="1" applyBorder="1" applyAlignment="1">
      <alignment vertical="center" wrapText="1"/>
    </xf>
    <xf numFmtId="0" fontId="11" fillId="3" borderId="5" xfId="0" applyFont="1" applyFill="1" applyBorder="1" applyAlignment="1">
      <alignment horizontal="center" vertical="center"/>
    </xf>
    <xf numFmtId="0" fontId="11" fillId="3" borderId="6" xfId="0" applyFont="1" applyFill="1" applyBorder="1" applyAlignment="1">
      <alignment horizontal="left" vertical="center"/>
    </xf>
    <xf numFmtId="0" fontId="11" fillId="3" borderId="6" xfId="0" applyFont="1" applyFill="1" applyBorder="1" applyAlignment="1">
      <alignment vertical="center" wrapText="1"/>
    </xf>
    <xf numFmtId="0" fontId="4" fillId="2" borderId="0" xfId="0" applyFont="1" applyFill="1"/>
    <xf numFmtId="164" fontId="14" fillId="3" borderId="1" xfId="0" applyNumberFormat="1" applyFont="1" applyFill="1" applyBorder="1" applyAlignment="1">
      <alignment horizontal="center" vertical="center"/>
    </xf>
    <xf numFmtId="0" fontId="8" fillId="3" borderId="1" xfId="0" applyFont="1" applyFill="1" applyBorder="1" applyAlignment="1">
      <alignment horizontal="left"/>
    </xf>
    <xf numFmtId="0" fontId="6" fillId="3" borderId="1" xfId="0" applyFont="1" applyFill="1" applyBorder="1" applyAlignment="1">
      <alignment horizontal="left" vertical="top"/>
    </xf>
    <xf numFmtId="0" fontId="6" fillId="3" borderId="1" xfId="0" applyFont="1" applyFill="1" applyBorder="1" applyAlignment="1">
      <alignment horizontal="left"/>
    </xf>
    <xf numFmtId="0" fontId="6" fillId="3" borderId="1" xfId="0" applyFont="1" applyFill="1" applyBorder="1"/>
    <xf numFmtId="0" fontId="7" fillId="2" borderId="0" xfId="0" applyFont="1" applyFill="1"/>
    <xf numFmtId="164" fontId="6" fillId="3" borderId="1" xfId="0" applyNumberFormat="1" applyFont="1" applyFill="1" applyBorder="1"/>
    <xf numFmtId="1" fontId="16" fillId="3" borderId="1" xfId="0" applyNumberFormat="1" applyFont="1" applyFill="1" applyBorder="1" applyAlignment="1">
      <alignment horizontal="center" vertical="center"/>
    </xf>
    <xf numFmtId="9" fontId="16" fillId="3" borderId="1" xfId="1" applyFont="1" applyFill="1" applyBorder="1" applyAlignment="1">
      <alignment horizontal="center" vertical="center"/>
    </xf>
    <xf numFmtId="164" fontId="16" fillId="3" borderId="1" xfId="0" applyNumberFormat="1" applyFont="1" applyFill="1" applyBorder="1" applyAlignment="1">
      <alignment horizontal="center" vertical="center"/>
    </xf>
    <xf numFmtId="10" fontId="16" fillId="3"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0" fontId="13" fillId="6" borderId="7" xfId="0" applyFont="1" applyFill="1" applyBorder="1"/>
    <xf numFmtId="0" fontId="13" fillId="6" borderId="8" xfId="0" applyFont="1" applyFill="1" applyBorder="1"/>
    <xf numFmtId="0" fontId="13" fillId="6" borderId="9" xfId="0" applyFont="1" applyFill="1" applyBorder="1"/>
    <xf numFmtId="0" fontId="13" fillId="6" borderId="10" xfId="0" applyFont="1" applyFill="1" applyBorder="1"/>
    <xf numFmtId="0" fontId="8" fillId="6" borderId="11" xfId="0" applyFont="1" applyFill="1" applyBorder="1"/>
    <xf numFmtId="0" fontId="8" fillId="6" borderId="12" xfId="0" applyFont="1" applyFill="1" applyBorder="1"/>
    <xf numFmtId="0" fontId="6" fillId="3" borderId="13" xfId="0" applyFont="1" applyFill="1" applyBorder="1"/>
    <xf numFmtId="1" fontId="6" fillId="3" borderId="13" xfId="0" applyNumberFormat="1" applyFont="1" applyFill="1" applyBorder="1"/>
    <xf numFmtId="164" fontId="6" fillId="3" borderId="13" xfId="0" applyNumberFormat="1" applyFont="1" applyFill="1" applyBorder="1"/>
    <xf numFmtId="9" fontId="6" fillId="3" borderId="13" xfId="0" applyNumberFormat="1" applyFont="1" applyFill="1"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165"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5" fillId="0" borderId="0" xfId="0" applyFont="1" applyAlignment="1">
      <alignment horizontal="center"/>
    </xf>
    <xf numFmtId="14" fontId="5" fillId="0" borderId="0" xfId="0" applyNumberFormat="1" applyFont="1" applyAlignment="1">
      <alignment horizontal="center"/>
    </xf>
    <xf numFmtId="49" fontId="5" fillId="0" borderId="0" xfId="0" applyNumberFormat="1" applyFont="1" applyAlignment="1">
      <alignment horizontal="center"/>
    </xf>
    <xf numFmtId="165" fontId="5" fillId="0" borderId="0" xfId="0" applyNumberFormat="1" applyFont="1" applyAlignment="1">
      <alignment horizontal="center"/>
    </xf>
    <xf numFmtId="164" fontId="5" fillId="0" borderId="0" xfId="0" applyNumberFormat="1"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11" fillId="3" borderId="1" xfId="0" applyFont="1" applyFill="1" applyBorder="1" applyAlignment="1">
      <alignment horizontal="left" vertical="center"/>
    </xf>
    <xf numFmtId="9" fontId="6" fillId="3" borderId="1" xfId="0" applyNumberFormat="1" applyFont="1" applyFill="1" applyBorder="1"/>
    <xf numFmtId="0" fontId="6" fillId="3" borderId="0" xfId="0" applyFont="1" applyFill="1"/>
    <xf numFmtId="9" fontId="6" fillId="3" borderId="0" xfId="1" applyFont="1" applyFill="1"/>
    <xf numFmtId="0" fontId="0" fillId="2" borderId="14" xfId="0" applyFill="1" applyBorder="1"/>
    <xf numFmtId="0" fontId="19" fillId="3" borderId="15"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21" fillId="3" borderId="17" xfId="0" applyFont="1" applyFill="1" applyBorder="1" applyAlignment="1">
      <alignment horizontal="left" vertical="center" wrapText="1"/>
    </xf>
    <xf numFmtId="0" fontId="21" fillId="3" borderId="18" xfId="0" applyFont="1" applyFill="1" applyBorder="1" applyAlignment="1">
      <alignment horizontal="left" vertical="center" wrapText="1"/>
    </xf>
    <xf numFmtId="0" fontId="10" fillId="3" borderId="17" xfId="0" applyFont="1" applyFill="1" applyBorder="1" applyAlignment="1">
      <alignment horizontal="left" vertical="center" wrapText="1"/>
    </xf>
    <xf numFmtId="0" fontId="10" fillId="3" borderId="18" xfId="0" applyFont="1" applyFill="1" applyBorder="1" applyAlignment="1">
      <alignment horizontal="left" vertical="center" wrapText="1"/>
    </xf>
    <xf numFmtId="10" fontId="0" fillId="2" borderId="0" xfId="0" applyNumberFormat="1" applyFill="1"/>
    <xf numFmtId="0" fontId="21" fillId="3" borderId="20" xfId="0" applyFont="1" applyFill="1" applyBorder="1" applyAlignment="1">
      <alignment horizontal="left" vertical="center" wrapText="1"/>
    </xf>
    <xf numFmtId="0" fontId="21" fillId="3" borderId="19" xfId="0" applyFont="1" applyFill="1" applyBorder="1" applyAlignment="1">
      <alignment horizontal="left" vertical="center" wrapText="1"/>
    </xf>
    <xf numFmtId="0" fontId="23" fillId="2" borderId="0" xfId="0" applyFont="1" applyFill="1"/>
    <xf numFmtId="0" fontId="8" fillId="2" borderId="0" xfId="0" applyFont="1" applyFill="1"/>
    <xf numFmtId="0" fontId="6" fillId="3" borderId="1" xfId="0" applyNumberFormat="1" applyFont="1" applyFill="1" applyBorder="1"/>
  </cellXfs>
  <cellStyles count="2">
    <cellStyle name="Normal" xfId="0" builtinId="0"/>
    <cellStyle name="Percent" xfId="1" builtinId="5"/>
  </cellStyles>
  <dxfs count="210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sz val="11"/>
      </font>
    </dxf>
    <dxf>
      <font>
        <sz val="11"/>
      </font>
    </dxf>
    <dxf>
      <font>
        <sz val="11"/>
      </font>
    </dxf>
    <dxf>
      <font>
        <sz val="11"/>
      </font>
    </dxf>
    <dxf>
      <font>
        <sz val="11"/>
      </font>
    </dxf>
    <dxf>
      <font>
        <sz val="11"/>
      </font>
    </dxf>
    <dxf>
      <font>
        <name val="Calibri"/>
        <family val="2"/>
        <scheme val="minor"/>
      </font>
    </dxf>
    <dxf>
      <font>
        <b/>
      </font>
    </dxf>
    <dxf>
      <font>
        <b val="0"/>
        <i val="0"/>
        <strike val="0"/>
        <condense val="0"/>
        <extend val="0"/>
        <outline val="0"/>
        <shadow val="0"/>
        <u val="none"/>
        <vertAlign val="baseline"/>
        <sz val="14"/>
        <color theme="0"/>
        <name val="Calibri"/>
        <family val="2"/>
        <scheme val="minor"/>
      </font>
      <fill>
        <patternFill patternType="solid">
          <fgColor indexed="64"/>
          <bgColor theme="4" tint="-0.499984740745262"/>
        </patternFill>
      </fill>
      <alignment horizontal="left" vertical="center" textRotation="0" wrapText="1" indent="0" justifyLastLine="0" shrinkToFit="0" readingOrder="0"/>
      <border diagonalUp="0" diagonalDown="0">
        <left style="medium">
          <color theme="0"/>
        </left>
        <right/>
        <top style="medium">
          <color theme="0"/>
        </top>
        <bottom style="medium">
          <color theme="0"/>
        </bottom>
        <vertical style="medium">
          <color theme="0"/>
        </vertical>
        <horizontal style="medium">
          <color theme="0"/>
        </horizontal>
      </border>
    </dxf>
    <dxf>
      <font>
        <b val="0"/>
        <i val="0"/>
        <strike val="0"/>
        <condense val="0"/>
        <extend val="0"/>
        <outline val="0"/>
        <shadow val="0"/>
        <u val="none"/>
        <vertAlign val="baseline"/>
        <sz val="14"/>
        <color theme="0"/>
        <name val="Calibri"/>
        <family val="2"/>
        <scheme val="minor"/>
      </font>
      <fill>
        <patternFill patternType="solid">
          <fgColor indexed="64"/>
          <bgColor theme="4" tint="-0.499984740745262"/>
        </patternFill>
      </fill>
      <alignment horizontal="left" vertical="center" textRotation="0" wrapText="1" indent="0" justifyLastLine="0" shrinkToFit="0" readingOrder="0"/>
      <border diagonalUp="0" diagonalDown="0">
        <left/>
        <right style="medium">
          <color theme="0"/>
        </right>
        <top style="medium">
          <color theme="0"/>
        </top>
        <bottom style="medium">
          <color theme="0"/>
        </bottom>
        <vertical style="medium">
          <color theme="0"/>
        </vertical>
        <horizontal style="medium">
          <color theme="0"/>
        </horizontal>
      </border>
    </dxf>
    <dxf>
      <border>
        <top style="medium">
          <color theme="0"/>
        </top>
      </border>
    </dxf>
    <dxf>
      <border diagonalUp="0" diagonalDown="0">
        <left style="medium">
          <color theme="0"/>
        </left>
        <right style="medium">
          <color theme="0"/>
        </right>
        <top style="medium">
          <color theme="0"/>
        </top>
        <bottom style="medium">
          <color theme="0"/>
        </bottom>
      </border>
    </dxf>
    <dxf>
      <border>
        <bottom style="medium">
          <color theme="0"/>
        </bottom>
      </border>
    </dxf>
    <dxf>
      <font>
        <b/>
        <i val="0"/>
        <strike val="0"/>
        <condense val="0"/>
        <extend val="0"/>
        <outline val="0"/>
        <shadow val="0"/>
        <u val="none"/>
        <vertAlign val="baseline"/>
        <sz val="18"/>
        <color theme="0"/>
        <name val="Constantia"/>
        <family val="1"/>
        <scheme val="none"/>
      </font>
      <fill>
        <patternFill patternType="solid">
          <fgColor indexed="64"/>
          <bgColor theme="4" tint="-0.499984740745262"/>
        </patternFill>
      </fill>
      <alignment horizontal="center" vertical="center" textRotation="0" wrapText="1" indent="0" justifyLastLine="0" shrinkToFit="0" readingOrder="0"/>
      <border diagonalUp="0" diagonalDown="0">
        <left style="medium">
          <color theme="0"/>
        </left>
        <right style="medium">
          <color theme="0"/>
        </right>
        <top/>
        <bottom/>
        <vertical style="medium">
          <color theme="0"/>
        </vertical>
        <horizontal style="medium">
          <color theme="0"/>
        </horizontal>
      </border>
    </dxf>
    <dxf>
      <font>
        <b/>
      </font>
    </dxf>
    <dxf>
      <font>
        <color theme="0"/>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4" formatCode="0.00%"/>
    </dxf>
    <dxf>
      <font>
        <b/>
      </font>
    </dxf>
    <dxf>
      <font>
        <name val="Calibri"/>
        <family val="2"/>
        <scheme val="minor"/>
      </font>
    </dxf>
    <dxf>
      <font>
        <sz val="11"/>
      </font>
    </dxf>
    <dxf>
      <font>
        <sz val="11"/>
      </font>
    </dxf>
    <dxf>
      <font>
        <sz val="11"/>
      </font>
    </dxf>
    <dxf>
      <font>
        <sz val="11"/>
      </font>
    </dxf>
    <dxf>
      <font>
        <sz val="11"/>
      </font>
    </dxf>
    <dxf>
      <font>
        <sz val="11"/>
      </font>
    </dxf>
    <dxf>
      <font>
        <color theme="0"/>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name val="Calibri"/>
        <family val="2"/>
        <scheme val="minor"/>
      </font>
    </dxf>
    <dxf>
      <font>
        <sz val="11"/>
      </font>
    </dxf>
    <dxf>
      <font>
        <sz val="11"/>
      </font>
    </dxf>
    <dxf>
      <font>
        <sz val="11"/>
      </font>
    </dxf>
    <dxf>
      <font>
        <sz val="11"/>
      </font>
    </dxf>
    <dxf>
      <font>
        <sz val="11"/>
      </font>
    </dxf>
    <dxf>
      <font>
        <sz val="11"/>
      </font>
    </dxf>
    <dxf>
      <font>
        <color theme="0"/>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theme="0"/>
      </font>
    </dxf>
    <dxf>
      <font>
        <color theme="0"/>
      </font>
    </dxf>
    <dxf>
      <font>
        <color theme="0"/>
      </font>
    </dxf>
    <dxf>
      <font>
        <color theme="0"/>
      </font>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0"/>
        <name val="Constantia"/>
        <family val="1"/>
        <scheme val="none"/>
      </font>
      <fill>
        <patternFill patternType="solid">
          <bgColor theme="4" tint="-0.499984740745262"/>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0"/>
        <name val="Constantia"/>
        <family val="1"/>
        <scheme val="none"/>
      </font>
      <fill>
        <patternFill patternType="solid">
          <bgColor theme="4" tint="-0.49998474074526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0"/>
        <name val="Constantia"/>
        <family val="1"/>
        <scheme val="none"/>
      </font>
      <fill>
        <patternFill patternType="solid">
          <bgColor theme="4" tint="-0.499984740745262"/>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0"/>
        <name val="Constantia"/>
        <family val="1"/>
        <scheme val="none"/>
      </font>
      <fill>
        <patternFill patternType="solid">
          <bgColor theme="4" tint="-0.499984740745262"/>
        </patternFill>
      </fill>
      <alignment horizontal="center" vertical="center" textRotation="0" wrapText="0" indent="0" justifyLastLine="0" shrinkToFit="0" readingOrder="0"/>
      <border diagonalUp="0" diagonalDown="0" outline="0">
        <left/>
        <right style="thin">
          <color indexed="64"/>
        </right>
        <top style="thin">
          <color theme="4" tint="0.39997558519241921"/>
        </top>
        <bottom style="thin">
          <color indexed="64"/>
        </bottom>
      </border>
    </dxf>
    <dxf>
      <border outline="0">
        <left style="thin">
          <color indexed="64"/>
        </left>
      </border>
    </dxf>
    <dxf>
      <font>
        <strike val="0"/>
        <outline val="0"/>
        <shadow val="0"/>
        <u val="none"/>
        <vertAlign val="baseline"/>
        <sz val="14"/>
        <color theme="0"/>
        <name val="Constantia"/>
        <family val="1"/>
        <scheme val="none"/>
      </font>
      <fill>
        <patternFill patternType="solid">
          <bgColor theme="4" tint="-0.499984740745262"/>
        </patternFill>
      </fill>
      <alignment vertical="center" textRotation="0" indent="0" justifyLastLine="0" shrinkToFit="0" readingOrder="0"/>
    </dxf>
    <dxf>
      <font>
        <b val="0"/>
        <i val="0"/>
        <strike val="0"/>
        <condense val="0"/>
        <extend val="0"/>
        <outline val="0"/>
        <shadow val="0"/>
        <u val="none"/>
        <vertAlign val="baseline"/>
        <sz val="14"/>
        <color theme="0"/>
        <name val="Bahnschrift SemiBold"/>
        <family val="2"/>
        <scheme val="none"/>
      </font>
      <fill>
        <patternFill patternType="solid">
          <fgColor theme="4"/>
          <bgColor theme="4"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bottom" textRotation="0" wrapText="0" indent="0" justifyLastLine="0" shrinkToFit="0" readingOrder="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1"/>
        <color theme="1"/>
      </font>
      <border>
        <vertical/>
        <horizontal/>
      </border>
    </dxf>
    <dxf>
      <font>
        <sz val="72"/>
        <color theme="1"/>
      </font>
      <border>
        <left style="thin">
          <color theme="4"/>
        </left>
        <right style="thin">
          <color theme="4"/>
        </right>
        <top style="thin">
          <color theme="4"/>
        </top>
        <bottom style="thin">
          <color theme="4"/>
        </bottom>
        <vertical/>
        <horizontal/>
      </border>
    </dxf>
    <dxf>
      <font>
        <b/>
        <i/>
        <sz val="72"/>
        <color theme="1"/>
        <name val="Constantia"/>
        <family val="1"/>
        <scheme val="none"/>
      </font>
      <fill>
        <patternFill>
          <bgColor theme="4" tint="0.79998168889431442"/>
        </patternFill>
      </fill>
      <border>
        <vertical/>
        <horizontal/>
      </border>
    </dxf>
    <dxf>
      <font>
        <b/>
        <i/>
        <sz val="72"/>
        <color theme="1"/>
        <name val="Calibri Light"/>
        <family val="2"/>
        <scheme val="none"/>
      </font>
      <fill>
        <patternFill>
          <bgColor theme="4" tint="0.79998168889431442"/>
        </patternFill>
      </fill>
      <border>
        <left style="thin">
          <color theme="4"/>
        </left>
        <right style="thin">
          <color theme="4"/>
        </right>
        <top style="thin">
          <color theme="4"/>
        </top>
        <bottom style="thin">
          <color theme="4"/>
        </bottom>
        <vertical/>
        <horizontal/>
      </border>
    </dxf>
    <dxf>
      <font>
        <b/>
        <i val="0"/>
        <sz val="72"/>
        <color theme="1"/>
        <name val="Calibri"/>
        <family val="2"/>
        <scheme val="minor"/>
      </font>
      <border>
        <bottom style="thin">
          <color theme="4"/>
        </bottom>
        <vertical/>
        <horizontal/>
      </border>
    </dxf>
    <dxf>
      <font>
        <b/>
        <i/>
        <sz val="72"/>
        <color rgb="FF2D4069"/>
        <name val="Calibri Light"/>
        <family val="2"/>
        <scheme val="major"/>
      </font>
      <fill>
        <patternFill>
          <bgColor theme="0" tint="-4.9989318521683403E-2"/>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Light1 2" pivot="0" table="0" count="10" xr9:uid="{9B982A2E-692C-410F-8C59-3852C8FD4F7E}">
      <tableStyleElement type="wholeTable" dxfId="21074"/>
      <tableStyleElement type="headerRow" dxfId="21073"/>
    </tableStyle>
    <tableStyle name="TimeSlicerStyleDark1 2" pivot="0" table="0" count="9" xr9:uid="{4B102CAB-E06C-4940-8468-9D01F7FDCBED}">
      <tableStyleElement type="wholeTable" dxfId="21072"/>
      <tableStyleElement type="headerRow" dxfId="21071"/>
    </tableStyle>
    <tableStyle name="TimeSlicerStyleDark1 3" pivot="0" table="0" count="9" xr9:uid="{3D77832E-29B1-4D92-8516-86443E5A4B24}">
      <tableStyleElement type="wholeTable" dxfId="21070"/>
      <tableStyleElement type="headerRow" dxfId="21069"/>
    </tableStyle>
  </tableStyles>
  <colors>
    <mruColors>
      <color rgb="FF2D4069"/>
      <color rgb="FF800000"/>
      <color rgb="FF990000"/>
      <color rgb="FFCC3300"/>
      <color rgb="FF460000"/>
    </mruColors>
  </colors>
  <extLst>
    <ext xmlns:x14="http://schemas.microsoft.com/office/spreadsheetml/2009/9/main" uri="{46F421CA-312F-682f-3DD2-61675219B42D}">
      <x14:dxfs count="8">
        <dxf>
          <font>
            <b/>
            <i val="0"/>
            <sz val="72"/>
            <color theme="0"/>
            <name val="Constantia"/>
            <family val="1"/>
            <scheme val="none"/>
          </font>
          <fill>
            <gradientFill degree="90">
              <stop position="0">
                <color theme="4"/>
              </stop>
              <stop position="1">
                <color theme="4" tint="-0.49803155613879818"/>
              </stop>
            </gradientFill>
          </fill>
          <border>
            <left style="thin">
              <color rgb="FF999999"/>
            </left>
            <right style="thin">
              <color rgb="FF999999"/>
            </right>
            <top style="thin">
              <color rgb="FF999999"/>
            </top>
            <bottom style="thin">
              <color rgb="FF999999"/>
            </bottom>
            <vertical/>
            <horizontal/>
          </border>
        </dxf>
        <dxf>
          <font>
            <b/>
            <i/>
            <sz val="72"/>
            <color theme="0"/>
            <name val="Constantia"/>
            <family val="1"/>
            <scheme val="none"/>
          </font>
          <fill>
            <gradientFill degree="90">
              <stop position="0">
                <color theme="4"/>
              </stop>
              <stop position="1">
                <color theme="4" tint="-0.49803155613879818"/>
              </stop>
            </gradientFill>
          </fill>
          <border>
            <left style="thin">
              <color rgb="FF999999"/>
            </left>
            <right style="thin">
              <color rgb="FF999999"/>
            </right>
            <top style="thin">
              <color rgb="FF999999"/>
            </top>
            <bottom style="thin">
              <color rgb="FF999999"/>
            </bottom>
            <vertical/>
            <horizontal/>
          </border>
        </dxf>
        <dxf>
          <font>
            <b/>
            <i val="0"/>
            <sz val="72"/>
            <color theme="0"/>
            <name val="Constantia"/>
            <family val="1"/>
            <scheme val="none"/>
          </font>
          <fill>
            <gradientFill degree="90">
              <stop position="0">
                <color theme="4"/>
              </stop>
              <stop position="1">
                <color theme="4" tint="-0.49803155613879818"/>
              </stop>
            </gradientFill>
          </fill>
          <border>
            <left style="thin">
              <color rgb="FF999999"/>
            </left>
            <right style="thin">
              <color rgb="FF999999"/>
            </right>
            <top style="thin">
              <color rgb="FF999999"/>
            </top>
            <bottom style="thin">
              <color rgb="FF999999"/>
            </bottom>
            <vertical/>
            <horizontal/>
          </border>
        </dxf>
        <dxf>
          <font>
            <b/>
            <i val="0"/>
            <sz val="72"/>
            <color theme="0"/>
            <name val="Constantia"/>
            <family val="1"/>
            <scheme val="none"/>
          </font>
          <fill>
            <gradientFill degree="90">
              <stop position="0">
                <color theme="4"/>
              </stop>
              <stop position="1">
                <color theme="4" tint="-0.49803155613879818"/>
              </stop>
            </gradientFill>
          </fill>
          <border>
            <left style="thin">
              <color rgb="FF999999"/>
            </left>
            <right style="thin">
              <color rgb="FF999999"/>
            </right>
            <top style="thin">
              <color rgb="FF999999"/>
            </top>
            <bottom style="thin">
              <color rgb="FF999999"/>
            </bottom>
            <vertical/>
            <horizontal/>
          </border>
        </dxf>
        <dxf>
          <font>
            <b/>
            <i val="0"/>
            <sz val="72"/>
            <color theme="0"/>
            <name val="Constantia"/>
            <family val="1"/>
            <scheme val="none"/>
          </font>
          <fill>
            <gradientFill degree="90">
              <stop position="0">
                <color theme="4"/>
              </stop>
              <stop position="1">
                <color theme="4" tint="-0.49803155613879818"/>
              </stop>
            </gradientFill>
          </fill>
          <border>
            <left style="thin">
              <color rgb="FFCCCCCC"/>
            </left>
            <right style="thin">
              <color rgb="FFCCCCCC"/>
            </right>
            <top style="thin">
              <color rgb="FFCCCCCC"/>
            </top>
            <bottom style="thin">
              <color rgb="FFCCCCCC"/>
            </bottom>
            <vertical/>
            <horizontal/>
          </border>
        </dxf>
        <dxf>
          <font>
            <b/>
            <i val="0"/>
            <sz val="72"/>
            <color theme="0"/>
            <name val="Calibri Light"/>
            <family val="2"/>
            <scheme val="major"/>
          </font>
          <fill>
            <gradientFill degree="90">
              <stop position="0">
                <color theme="4" tint="-0.49803155613879818"/>
              </stop>
              <stop position="1">
                <color theme="4"/>
              </stop>
            </gradientFill>
          </fill>
          <border>
            <left style="thin">
              <color rgb="FF999999"/>
            </left>
            <right style="thin">
              <color rgb="FF999999"/>
            </right>
            <top style="thin">
              <color rgb="FF999999"/>
            </top>
            <bottom style="thin">
              <color rgb="FF999999"/>
            </bottom>
            <vertical/>
            <horizontal/>
          </border>
        </dxf>
        <dxf>
          <font>
            <b/>
            <i/>
            <sz val="72"/>
            <color theme="1"/>
            <name val="Constantia"/>
            <family val="1"/>
            <scheme val="none"/>
          </font>
          <fill>
            <gradientFill degree="90">
              <stop position="0">
                <color theme="2"/>
              </stop>
              <stop position="1">
                <color theme="0"/>
              </stop>
            </gradientFill>
          </fill>
          <border>
            <left style="thin">
              <color rgb="FFE0E0E0"/>
            </left>
            <right style="thin">
              <color rgb="FFE0E0E0"/>
            </right>
            <top style="thin">
              <color rgb="FFE0E0E0"/>
            </top>
            <bottom style="thin">
              <color rgb="FFE0E0E0"/>
            </bottom>
            <vertical/>
            <horizontal/>
          </border>
        </dxf>
        <dxf>
          <font>
            <b/>
            <i/>
            <sz val="72"/>
            <color theme="1"/>
            <name val="Constantia"/>
            <family val="1"/>
            <scheme val="none"/>
          </font>
          <fill>
            <gradientFill degree="90">
              <stop position="0">
                <color theme="2"/>
              </stop>
              <stop position="1">
                <color theme="0"/>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gradientFill degree="90">
              <stop position="0">
                <color theme="0"/>
              </stop>
              <stop position="0.5">
                <color theme="4"/>
              </stop>
              <stop position="1">
                <color theme="0"/>
              </stop>
            </gradientFill>
          </fill>
          <border>
            <vertical/>
            <horizontal/>
          </border>
        </dxf>
        <dxf>
          <fill>
            <gradientFill degree="90">
              <stop position="0">
                <color theme="4" tint="0.80001220740379042"/>
              </stop>
              <stop position="1">
                <color theme="4" tint="0.59999389629810485"/>
              </stop>
            </gradientFill>
          </fill>
          <border>
            <vertical/>
            <horizontal/>
          </border>
        </dxf>
        <dxf>
          <fill>
            <gradientFill degree="270">
              <stop position="0">
                <color theme="4"/>
              </stop>
              <stop position="1">
                <color theme="4" tint="-0.49803155613879818"/>
              </stop>
            </gradientFill>
          </fill>
          <border>
            <vertical/>
            <horizontal/>
          </border>
        </dxf>
        <dxf>
          <font>
            <b/>
            <i/>
            <sz val="72"/>
            <color theme="1"/>
          </font>
          <border>
            <left/>
            <right/>
            <top/>
            <bottom/>
            <vertical/>
            <horizontal/>
          </border>
        </dxf>
        <dxf>
          <font>
            <b/>
            <i/>
            <sz val="72"/>
            <color theme="1"/>
            <name val="Constantia"/>
            <family val="1"/>
            <scheme val="none"/>
          </font>
          <border>
            <left/>
            <right/>
            <top/>
            <bottom/>
            <vertical/>
            <horizontal/>
          </border>
        </dxf>
        <dxf>
          <font>
            <b/>
            <i/>
            <sz val="72"/>
            <color theme="1"/>
            <name val="Constantia"/>
            <family val="1"/>
            <scheme val="none"/>
          </font>
          <border>
            <left/>
            <right/>
            <top/>
            <bottom/>
            <vertical/>
            <horizontal/>
          </border>
        </dxf>
        <dxf>
          <font>
            <b/>
            <i/>
            <sz val="72"/>
            <color theme="4" tint="-0.249977111117893"/>
            <name val="Eras Demi ITC"/>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1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Hospital.xlsx]PIVOT!PivotTable6</c:name>
    <c:fmtId val="10"/>
  </c:pivotSource>
  <c:chart>
    <c:title>
      <c:tx>
        <c:rich>
          <a:bodyPr rot="0" spcFirstLastPara="1" vertOverflow="ellipsis" vert="horz" wrap="square" anchor="ctr" anchorCtr="1"/>
          <a:lstStyle/>
          <a:p>
            <a:pPr>
              <a:defRPr sz="1400" b="1" i="0" u="none" strike="noStrike" kern="1200" cap="all" spc="50" baseline="0">
                <a:solidFill>
                  <a:schemeClr val="lt1"/>
                </a:solidFill>
                <a:latin typeface="+mn-lt"/>
                <a:ea typeface="+mn-ea"/>
                <a:cs typeface="+mn-cs"/>
              </a:defRPr>
            </a:pPr>
            <a:r>
              <a:rPr lang="en-US"/>
              <a:t>aPPOINTMENT</a:t>
            </a:r>
            <a:r>
              <a:rPr lang="en-US" baseline="0"/>
              <a:t> STATus</a:t>
            </a:r>
            <a:endParaRPr lang="en-US"/>
          </a:p>
        </c:rich>
      </c:tx>
      <c:layout>
        <c:manualLayout>
          <c:xMode val="edge"/>
          <c:yMode val="edge"/>
          <c:x val="0.21597222222222223"/>
          <c:y val="9.7517224409448822E-2"/>
        </c:manualLayout>
      </c:layout>
      <c:overlay val="0"/>
      <c:spPr>
        <a:noFill/>
        <a:ln>
          <a:noFill/>
        </a:ln>
        <a:effectLst>
          <a:innerShdw blurRad="114300">
            <a:prstClr val="black"/>
          </a:innerShdw>
        </a:effectLst>
      </c:spPr>
      <c:txPr>
        <a:bodyPr rot="0" spcFirstLastPara="1" vertOverflow="ellipsis" vert="horz" wrap="square" anchor="ctr" anchorCtr="1"/>
        <a:lstStyle/>
        <a:p>
          <a:pPr>
            <a:defRPr sz="1400" b="1" i="0" u="none" strike="noStrike" kern="1200" cap="all" spc="5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contrasting" dir="t">
              <a:rot lat="0" lon="0" rev="7800000"/>
            </a:lightRig>
          </a:scene3d>
          <a:sp3d>
            <a:bevelT w="139700" h="1397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contrasting" dir="t">
              <a:rot lat="0" lon="0" rev="7800000"/>
            </a:lightRig>
          </a:scene3d>
          <a:sp3d>
            <a:bevelT w="139700" h="139700"/>
          </a:sp3d>
        </c:spPr>
      </c:pivotFmt>
      <c:pivotFmt>
        <c:idx val="8"/>
        <c:spPr>
          <a:solidFill>
            <a:schemeClr val="accent1"/>
          </a:solidFill>
          <a:ln>
            <a:noFill/>
          </a:ln>
          <a:effectLst/>
          <a:scene3d>
            <a:camera prst="orthographicFront"/>
            <a:lightRig rig="contrasting" dir="t">
              <a:rot lat="0" lon="0" rev="7800000"/>
            </a:lightRig>
          </a:scene3d>
          <a:sp3d>
            <a:bevelT w="139700" h="139700"/>
          </a:sp3d>
        </c:spPr>
      </c:pivotFmt>
      <c:pivotFmt>
        <c:idx val="9"/>
        <c:spPr>
          <a:solidFill>
            <a:schemeClr val="accent1"/>
          </a:solidFill>
          <a:ln>
            <a:noFill/>
          </a:ln>
          <a:effectLst/>
          <a:scene3d>
            <a:camera prst="orthographicFront"/>
            <a:lightRig rig="contrasting" dir="t">
              <a:rot lat="0" lon="0" rev="7800000"/>
            </a:lightRig>
          </a:scene3d>
          <a:sp3d>
            <a:bevelT w="139700" h="139700"/>
          </a:sp3d>
        </c:spPr>
      </c:pivotFmt>
      <c:pivotFmt>
        <c:idx val="10"/>
        <c:spPr>
          <a:solidFill>
            <a:schemeClr val="accent1"/>
          </a:solidFill>
          <a:ln>
            <a:noFill/>
          </a:ln>
          <a:effectLst/>
          <a:scene3d>
            <a:camera prst="orthographicFront"/>
            <a:lightRig rig="contrasting" dir="t">
              <a:rot lat="0" lon="0" rev="7800000"/>
            </a:lightRig>
          </a:scene3d>
          <a:sp3d>
            <a:bevelT w="139700" h="139700"/>
          </a:sp3d>
        </c:spPr>
      </c:pivotFmt>
    </c:pivotFmts>
    <c:plotArea>
      <c:layout/>
      <c:doughnutChart>
        <c:varyColors val="1"/>
        <c:ser>
          <c:idx val="0"/>
          <c:order val="0"/>
          <c:tx>
            <c:strRef>
              <c:f>PIVOT!$C$14</c:f>
              <c:strCache>
                <c:ptCount val="1"/>
                <c:pt idx="0">
                  <c:v>Total</c:v>
                </c:pt>
              </c:strCache>
            </c:strRef>
          </c:tx>
          <c:spPr>
            <a:scene3d>
              <a:camera prst="orthographicFront"/>
              <a:lightRig rig="contrasting" dir="t">
                <a:rot lat="0" lon="0" rev="7800000"/>
              </a:lightRig>
            </a:scene3d>
            <a:sp3d>
              <a:bevelT w="139700" h="139700"/>
            </a:sp3d>
          </c:spPr>
          <c:dPt>
            <c:idx val="0"/>
            <c:bubble3D val="0"/>
            <c:spPr>
              <a:solidFill>
                <a:schemeClr val="accent1"/>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1-481F-4024-9F3F-5E3341D9835F}"/>
              </c:ext>
            </c:extLst>
          </c:dPt>
          <c:dPt>
            <c:idx val="1"/>
            <c:bubble3D val="0"/>
            <c:spPr>
              <a:solidFill>
                <a:schemeClr val="accent2"/>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3-481F-4024-9F3F-5E3341D9835F}"/>
              </c:ext>
            </c:extLst>
          </c:dPt>
          <c:dPt>
            <c:idx val="2"/>
            <c:bubble3D val="0"/>
            <c:spPr>
              <a:solidFill>
                <a:schemeClr val="accent3"/>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5-481F-4024-9F3F-5E3341D9835F}"/>
              </c:ext>
            </c:extLst>
          </c:dPt>
          <c:dPt>
            <c:idx val="3"/>
            <c:bubble3D val="0"/>
            <c:spPr>
              <a:solidFill>
                <a:schemeClr val="accent4"/>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7-481F-4024-9F3F-5E3341D9835F}"/>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PIVOT!$B$15:$B$18</c:f>
              <c:strCache>
                <c:ptCount val="3"/>
                <c:pt idx="0">
                  <c:v>Cancelled</c:v>
                </c:pt>
                <c:pt idx="1">
                  <c:v>Completed</c:v>
                </c:pt>
                <c:pt idx="2">
                  <c:v>Scheduled</c:v>
                </c:pt>
              </c:strCache>
            </c:strRef>
          </c:cat>
          <c:val>
            <c:numRef>
              <c:f>PIVOT!$C$15:$C$18</c:f>
              <c:numCache>
                <c:formatCode>General</c:formatCode>
                <c:ptCount val="3"/>
                <c:pt idx="0">
                  <c:v>1</c:v>
                </c:pt>
                <c:pt idx="1">
                  <c:v>1</c:v>
                </c:pt>
                <c:pt idx="2">
                  <c:v>4</c:v>
                </c:pt>
              </c:numCache>
            </c:numRef>
          </c:val>
          <c:extLst>
            <c:ext xmlns:c16="http://schemas.microsoft.com/office/drawing/2014/chart" uri="{C3380CC4-5D6E-409C-BE32-E72D297353CC}">
              <c16:uniqueId val="{00000008-481F-4024-9F3F-5E3341D983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Hospital.xlsx]PIVOT!PivotTable7</c:name>
    <c:fmtId val="3"/>
  </c:pivotSource>
  <c:chart>
    <c:title>
      <c:tx>
        <c:rich>
          <a:bodyPr rot="0" spcFirstLastPara="1" vertOverflow="ellipsis" vert="horz" wrap="square" anchor="ctr" anchorCtr="1"/>
          <a:lstStyle/>
          <a:p>
            <a:pPr>
              <a:defRPr b="1" i="0" u="none" strike="noStrike" kern="1200" baseline="0">
                <a:solidFill>
                  <a:schemeClr val="lt1"/>
                </a:solidFill>
                <a:effectLst/>
                <a:latin typeface="+mn-lt"/>
                <a:ea typeface="+mn-ea"/>
                <a:cs typeface="+mn-cs"/>
              </a:defRPr>
            </a:pPr>
            <a:r>
              <a:rPr lang="en-US" b="1"/>
              <a:t>Appointment</a:t>
            </a:r>
            <a:r>
              <a:rPr lang="en-US" b="1" baseline="0"/>
              <a:t> by Specialization</a:t>
            </a:r>
            <a:endParaRPr lang="en-US" b="1"/>
          </a:p>
        </c:rich>
      </c:tx>
      <c:overlay val="0"/>
      <c:spPr>
        <a:noFill/>
        <a:ln>
          <a:noFill/>
        </a:ln>
        <a:effectLst>
          <a:innerShdw blurRad="114300">
            <a:prstClr val="black"/>
          </a:innerShdw>
        </a:effectLst>
      </c:spPr>
      <c:txPr>
        <a:bodyPr rot="0" spcFirstLastPara="1" vertOverflow="ellipsis" vert="horz" wrap="square" anchor="ctr" anchorCtr="1"/>
        <a:lstStyle/>
        <a:p>
          <a:pPr>
            <a:defRPr b="1" i="0" u="none" strike="noStrike" kern="1200" baseline="0">
              <a:solidFill>
                <a:schemeClr val="lt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solidFill>
              <a:schemeClr val="bg1"/>
            </a:solidFill>
          </a:ln>
          <a:effectLst>
            <a:outerShdw blurRad="76200" dir="18900000" sy="23000" kx="-1200000" algn="bl" rotWithShape="0">
              <a:prstClr val="black">
                <a:alpha val="20000"/>
              </a:prstClr>
            </a:out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PIVOT!$F$8</c:f>
              <c:strCache>
                <c:ptCount val="1"/>
                <c:pt idx="0">
                  <c:v>Total</c:v>
                </c:pt>
              </c:strCache>
            </c:strRef>
          </c:tx>
          <c:spPr>
            <a:gradFill>
              <a:gsLst>
                <a:gs pos="0">
                  <a:schemeClr val="accent1"/>
                </a:gs>
                <a:gs pos="100000">
                  <a:schemeClr val="accent1">
                    <a:lumMod val="84000"/>
                  </a:schemeClr>
                </a:gs>
              </a:gsLst>
              <a:lin ang="5400000" scaled="1"/>
            </a:gradFill>
            <a:ln>
              <a:solidFill>
                <a:schemeClr val="bg1"/>
              </a:solidFill>
            </a:ln>
            <a:effectLst>
              <a:outerShdw blurRad="76200" dir="18900000" sy="23000" kx="-1200000" algn="bl" rotWithShape="0">
                <a:prstClr val="black">
                  <a:alpha val="20000"/>
                </a:prstClr>
              </a:outerShdw>
            </a:effectLst>
            <a:scene3d>
              <a:camera prst="orthographicFront"/>
              <a:lightRig rig="threePt" dir="t"/>
            </a:scene3d>
            <a:sp3d>
              <a:bevelT w="139700" h="1397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PIVOT!$E$9:$E$10</c:f>
              <c:strCache>
                <c:ptCount val="1"/>
                <c:pt idx="0">
                  <c:v>Dermatology</c:v>
                </c:pt>
              </c:strCache>
            </c:strRef>
          </c:cat>
          <c:val>
            <c:numRef>
              <c:f>PIVOT!$F$9:$F$10</c:f>
              <c:numCache>
                <c:formatCode>General</c:formatCode>
                <c:ptCount val="1"/>
                <c:pt idx="0">
                  <c:v>6</c:v>
                </c:pt>
              </c:numCache>
            </c:numRef>
          </c:val>
          <c:extLst>
            <c:ext xmlns:c16="http://schemas.microsoft.com/office/drawing/2014/chart" uri="{C3380CC4-5D6E-409C-BE32-E72D297353CC}">
              <c16:uniqueId val="{00000000-D7CE-49F5-802B-734A2070EF24}"/>
            </c:ext>
          </c:extLst>
        </c:ser>
        <c:dLbls>
          <c:dLblPos val="inEnd"/>
          <c:showLegendKey val="0"/>
          <c:showVal val="1"/>
          <c:showCatName val="0"/>
          <c:showSerName val="0"/>
          <c:showPercent val="0"/>
          <c:showBubbleSize val="0"/>
        </c:dLbls>
        <c:gapWidth val="41"/>
        <c:axId val="827459248"/>
        <c:axId val="215953680"/>
      </c:barChart>
      <c:catAx>
        <c:axId val="827459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effectLst/>
                <a:latin typeface="+mn-lt"/>
                <a:ea typeface="+mn-ea"/>
                <a:cs typeface="+mn-cs"/>
              </a:defRPr>
            </a:pPr>
            <a:endParaRPr lang="en-US"/>
          </a:p>
        </c:txPr>
        <c:crossAx val="215953680"/>
        <c:crosses val="autoZero"/>
        <c:auto val="1"/>
        <c:lblAlgn val="ctr"/>
        <c:lblOffset val="100"/>
        <c:noMultiLvlLbl val="0"/>
      </c:catAx>
      <c:valAx>
        <c:axId val="215953680"/>
        <c:scaling>
          <c:orientation val="minMax"/>
        </c:scaling>
        <c:delete val="1"/>
        <c:axPos val="l"/>
        <c:numFmt formatCode="General" sourceLinked="1"/>
        <c:majorTickMark val="none"/>
        <c:minorTickMark val="none"/>
        <c:tickLblPos val="nextTo"/>
        <c:crossAx val="82745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Hospital.xlsx]PIVOT!PivotTable8</c:name>
    <c:fmtId val="8"/>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t>Appointment by</a:t>
            </a:r>
            <a:r>
              <a:rPr lang="en-US" baseline="0"/>
              <a:t> Doctor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T w="139700" h="139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PIVOT!$H$9:$H$10</c:f>
              <c:strCache>
                <c:ptCount val="1"/>
                <c:pt idx="0">
                  <c:v>Sarah Taylor</c:v>
                </c:pt>
              </c:strCache>
            </c:strRef>
          </c:cat>
          <c:val>
            <c:numRef>
              <c:f>PIVOT!$I$9:$I$10</c:f>
              <c:numCache>
                <c:formatCode>General</c:formatCode>
                <c:ptCount val="1"/>
                <c:pt idx="0">
                  <c:v>6</c:v>
                </c:pt>
              </c:numCache>
            </c:numRef>
          </c:val>
          <c:extLst>
            <c:ext xmlns:c16="http://schemas.microsoft.com/office/drawing/2014/chart" uri="{C3380CC4-5D6E-409C-BE32-E72D297353CC}">
              <c16:uniqueId val="{00000000-4C32-44FC-8C3E-CC54D2C10AC6}"/>
            </c:ext>
          </c:extLst>
        </c:ser>
        <c:dLbls>
          <c:dLblPos val="inEnd"/>
          <c:showLegendKey val="0"/>
          <c:showVal val="1"/>
          <c:showCatName val="0"/>
          <c:showSerName val="0"/>
          <c:showPercent val="0"/>
          <c:showBubbleSize val="0"/>
        </c:dLbls>
        <c:gapWidth val="100"/>
        <c:axId val="1316995440"/>
        <c:axId val="1237250160"/>
      </c:barChart>
      <c:catAx>
        <c:axId val="13169954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237250160"/>
        <c:crosses val="autoZero"/>
        <c:auto val="1"/>
        <c:lblAlgn val="ctr"/>
        <c:lblOffset val="100"/>
        <c:noMultiLvlLbl val="0"/>
      </c:catAx>
      <c:valAx>
        <c:axId val="1237250160"/>
        <c:scaling>
          <c:orientation val="minMax"/>
        </c:scaling>
        <c:delete val="1"/>
        <c:axPos val="b"/>
        <c:numFmt formatCode="General" sourceLinked="1"/>
        <c:majorTickMark val="none"/>
        <c:minorTickMark val="none"/>
        <c:tickLblPos val="nextTo"/>
        <c:crossAx val="131699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Hospital.xlsx]PIVOT!PivotTable9</c:name>
    <c:fmtId val="9"/>
  </c:pivotSource>
  <c:chart>
    <c:title>
      <c:tx>
        <c:rich>
          <a:bodyPr rot="0" spcFirstLastPara="1" vertOverflow="ellipsis" vert="horz" wrap="square" anchor="ctr" anchorCtr="1"/>
          <a:lstStyle/>
          <a:p>
            <a:pPr>
              <a:defRPr sz="1600" b="1" i="0" u="none" strike="noStrike" kern="1200" spc="0" baseline="0">
                <a:solidFill>
                  <a:schemeClr val="lt1"/>
                </a:solidFill>
                <a:latin typeface="+mn-lt"/>
                <a:ea typeface="+mn-ea"/>
                <a:cs typeface="+mn-cs"/>
              </a:defRPr>
            </a:pPr>
            <a:r>
              <a:rPr lang="en-IN" sz="1600" b="1"/>
              <a:t>Appointment by Branch</a:t>
            </a:r>
          </a:p>
        </c:rich>
      </c:tx>
      <c:overlay val="0"/>
      <c:spPr>
        <a:noFill/>
        <a:ln>
          <a:noFill/>
        </a:ln>
        <a:effectLst>
          <a:innerShdw blurRad="114300">
            <a:prstClr val="black"/>
          </a:innerShdw>
        </a:effectLst>
      </c:spPr>
      <c:txPr>
        <a:bodyPr rot="0" spcFirstLastPara="1" vertOverflow="ellipsis" vert="horz" wrap="square" anchor="ctr" anchorCtr="1"/>
        <a:lstStyle/>
        <a:p>
          <a:pPr>
            <a:defRPr sz="1600" b="1"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a:outerShdw blurRad="76200" dir="18900000" sy="23000" kx="-1200000" algn="bl" rotWithShape="0">
              <a:prstClr val="black">
                <a:alpha val="20000"/>
              </a:prstClr>
            </a:out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PIVOT!$F$16</c:f>
              <c:strCache>
                <c:ptCount val="1"/>
                <c:pt idx="0">
                  <c:v>Total</c:v>
                </c:pt>
              </c:strCache>
            </c:strRef>
          </c:tx>
          <c:spPr>
            <a:solidFill>
              <a:schemeClr val="accent1"/>
            </a:solidFill>
            <a:ln>
              <a:solidFill>
                <a:schemeClr val="bg1"/>
              </a:solidFill>
            </a:ln>
            <a:effectLst>
              <a:outerShdw blurRad="76200" dir="18900000" sy="23000" kx="-1200000" algn="bl" rotWithShape="0">
                <a:prstClr val="black">
                  <a:alpha val="20000"/>
                </a:prstClr>
              </a:outerShdw>
            </a:effectLst>
            <a:scene3d>
              <a:camera prst="orthographicFront"/>
              <a:lightRig rig="threePt" dir="t"/>
            </a:scene3d>
            <a:sp3d>
              <a:bevelT w="139700" h="139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PIVOT!$E$17:$E$18</c:f>
              <c:strCache>
                <c:ptCount val="1"/>
                <c:pt idx="0">
                  <c:v>Central Hospital</c:v>
                </c:pt>
              </c:strCache>
            </c:strRef>
          </c:cat>
          <c:val>
            <c:numRef>
              <c:f>PIVOT!$F$17:$F$18</c:f>
              <c:numCache>
                <c:formatCode>General</c:formatCode>
                <c:ptCount val="1"/>
                <c:pt idx="0">
                  <c:v>6</c:v>
                </c:pt>
              </c:numCache>
            </c:numRef>
          </c:val>
          <c:extLst>
            <c:ext xmlns:c16="http://schemas.microsoft.com/office/drawing/2014/chart" uri="{C3380CC4-5D6E-409C-BE32-E72D297353CC}">
              <c16:uniqueId val="{00000000-C6EC-4157-A57C-7DDAA83EFA3B}"/>
            </c:ext>
          </c:extLst>
        </c:ser>
        <c:dLbls>
          <c:dLblPos val="ctr"/>
          <c:showLegendKey val="0"/>
          <c:showVal val="1"/>
          <c:showCatName val="0"/>
          <c:showSerName val="0"/>
          <c:showPercent val="0"/>
          <c:showBubbleSize val="0"/>
        </c:dLbls>
        <c:gapWidth val="150"/>
        <c:overlap val="100"/>
        <c:axId val="233692928"/>
        <c:axId val="1237191120"/>
      </c:barChart>
      <c:catAx>
        <c:axId val="23369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237191120"/>
        <c:crosses val="autoZero"/>
        <c:auto val="1"/>
        <c:lblAlgn val="ctr"/>
        <c:lblOffset val="100"/>
        <c:noMultiLvlLbl val="0"/>
      </c:catAx>
      <c:valAx>
        <c:axId val="1237191120"/>
        <c:scaling>
          <c:orientation val="minMax"/>
        </c:scaling>
        <c:delete val="1"/>
        <c:axPos val="l"/>
        <c:numFmt formatCode="General" sourceLinked="1"/>
        <c:majorTickMark val="none"/>
        <c:minorTickMark val="none"/>
        <c:tickLblPos val="nextTo"/>
        <c:crossAx val="2336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Hospital.xlsx]PIVOT!PivotTable12</c:name>
    <c:fmtId val="3"/>
  </c:pivotSource>
  <c:chart>
    <c:title>
      <c:tx>
        <c:rich>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r>
              <a:rPr lang="en-US" b="1"/>
              <a:t>Billing by Treatment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w="139700" h="139700"/>
          </a:sp3d>
        </c:spPr>
        <c:dLbl>
          <c:idx val="0"/>
          <c:layout>
            <c:manualLayout>
              <c:x val="-1.6874668527893053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w="139700" h="139700"/>
          </a:sp3d>
        </c:spPr>
      </c:pivotFmt>
    </c:pivotFmts>
    <c:plotArea>
      <c:layout/>
      <c:barChart>
        <c:barDir val="bar"/>
        <c:grouping val="clustered"/>
        <c:varyColors val="0"/>
        <c:ser>
          <c:idx val="0"/>
          <c:order val="0"/>
          <c:tx>
            <c:strRef>
              <c:f>PIVOT!$C$23</c:f>
              <c:strCache>
                <c:ptCount val="1"/>
                <c:pt idx="0">
                  <c:v>Total</c:v>
                </c:pt>
              </c:strCache>
            </c:strRef>
          </c:tx>
          <c:spPr>
            <a:solidFill>
              <a:schemeClr val="accent1"/>
            </a:solidFill>
            <a:ln>
              <a:noFill/>
            </a:ln>
            <a:effectLst/>
            <a:scene3d>
              <a:camera prst="orthographicFront"/>
              <a:lightRig rig="threePt" dir="t"/>
            </a:scene3d>
            <a:sp3d>
              <a:bevelT w="139700" h="139700"/>
            </a:sp3d>
          </c:spPr>
          <c:invertIfNegative val="0"/>
          <c:dPt>
            <c:idx val="0"/>
            <c:invertIfNegative val="0"/>
            <c:bubble3D val="0"/>
            <c:spPr>
              <a:solidFill>
                <a:schemeClr val="accent1"/>
              </a:solidFill>
              <a:ln>
                <a:noFill/>
              </a:ln>
              <a:effectLst/>
              <a:scene3d>
                <a:camera prst="orthographicFront"/>
                <a:lightRig rig="threePt" dir="t"/>
              </a:scene3d>
              <a:sp3d>
                <a:bevelT w="139700" h="139700"/>
              </a:sp3d>
            </c:spPr>
            <c:extLst>
              <c:ext xmlns:c16="http://schemas.microsoft.com/office/drawing/2014/chart" uri="{C3380CC4-5D6E-409C-BE32-E72D297353CC}">
                <c16:uniqueId val="{00000001-24B0-481F-9A5A-3F5B66B0815C}"/>
              </c:ext>
            </c:extLst>
          </c:dPt>
          <c:dPt>
            <c:idx val="4"/>
            <c:invertIfNegative val="0"/>
            <c:bubble3D val="0"/>
            <c:extLst>
              <c:ext xmlns:c16="http://schemas.microsoft.com/office/drawing/2014/chart" uri="{C3380CC4-5D6E-409C-BE32-E72D297353CC}">
                <c16:uniqueId val="{00000002-24B0-481F-9A5A-3F5B66B0815C}"/>
              </c:ext>
            </c:extLst>
          </c:dPt>
          <c:dLbls>
            <c:dLbl>
              <c:idx val="0"/>
              <c:layout>
                <c:manualLayout>
                  <c:x val="-1.6874668527893053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B0-481F-9A5A-3F5B66B081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PIVOT!$B$24:$B$25</c:f>
              <c:strCache>
                <c:ptCount val="1"/>
                <c:pt idx="0">
                  <c:v>Chemotherapy</c:v>
                </c:pt>
              </c:strCache>
            </c:strRef>
          </c:cat>
          <c:val>
            <c:numRef>
              <c:f>PIVOT!$C$24:$C$25</c:f>
              <c:numCache>
                <c:formatCode>"₹"\ #,##0.00</c:formatCode>
                <c:ptCount val="1"/>
                <c:pt idx="0">
                  <c:v>15628.27</c:v>
                </c:pt>
              </c:numCache>
            </c:numRef>
          </c:val>
          <c:extLst>
            <c:ext xmlns:c16="http://schemas.microsoft.com/office/drawing/2014/chart" uri="{C3380CC4-5D6E-409C-BE32-E72D297353CC}">
              <c16:uniqueId val="{00000000-24B0-481F-9A5A-3F5B66B0815C}"/>
            </c:ext>
          </c:extLst>
        </c:ser>
        <c:dLbls>
          <c:dLblPos val="outEnd"/>
          <c:showLegendKey val="0"/>
          <c:showVal val="1"/>
          <c:showCatName val="0"/>
          <c:showSerName val="0"/>
          <c:showPercent val="0"/>
          <c:showBubbleSize val="0"/>
        </c:dLbls>
        <c:gapWidth val="182"/>
        <c:axId val="1316980128"/>
        <c:axId val="1237247280"/>
      </c:barChart>
      <c:catAx>
        <c:axId val="1316980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37247280"/>
        <c:crosses val="autoZero"/>
        <c:auto val="1"/>
        <c:lblAlgn val="ctr"/>
        <c:lblOffset val="100"/>
        <c:noMultiLvlLbl val="0"/>
      </c:catAx>
      <c:valAx>
        <c:axId val="1237247280"/>
        <c:scaling>
          <c:orientation val="minMax"/>
        </c:scaling>
        <c:delete val="1"/>
        <c:axPos val="b"/>
        <c:numFmt formatCode="&quot;₹&quot;\ #,##0.00" sourceLinked="1"/>
        <c:majorTickMark val="none"/>
        <c:minorTickMark val="none"/>
        <c:tickLblPos val="nextTo"/>
        <c:crossAx val="131698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Hospital.xlsx]PIVOT!PivotTable14</c:name>
    <c:fmtId val="3"/>
  </c:pivotSource>
  <c:chart>
    <c:title>
      <c:tx>
        <c:rich>
          <a:bodyPr rot="0" spcFirstLastPara="1" vertOverflow="ellipsis" vert="horz" wrap="square" anchor="ctr" anchorCtr="1"/>
          <a:lstStyle/>
          <a:p>
            <a:pPr>
              <a:defRPr sz="1600" b="1" i="0" u="none" strike="noStrike" kern="1200" spc="0" baseline="0">
                <a:solidFill>
                  <a:schemeClr val="lt1"/>
                </a:solidFill>
                <a:latin typeface="+mn-lt"/>
                <a:ea typeface="+mn-ea"/>
                <a:cs typeface="+mn-cs"/>
              </a:defRPr>
            </a:pPr>
            <a:r>
              <a:rPr lang="en-US" sz="1600" b="1"/>
              <a:t>Monthly Billing Trend</a:t>
            </a:r>
          </a:p>
        </c:rich>
      </c:tx>
      <c:layout>
        <c:manualLayout>
          <c:xMode val="edge"/>
          <c:yMode val="edge"/>
          <c:x val="0.2929202456034386"/>
          <c:y val="1.850791249692141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tx2">
                <a:lumMod val="50000"/>
              </a:schemeClr>
            </a:solidFill>
            <a:ln w="9525">
              <a:solidFill>
                <a:schemeClr val="bg1"/>
              </a:solidFill>
            </a:ln>
            <a:effectLst/>
            <a:scene3d>
              <a:camera prst="orthographicFront"/>
              <a:lightRig rig="threePt" dir="t"/>
            </a:scene3d>
            <a:sp3d>
              <a:bevelT w="190500" h="381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PIVOT!$F$24</c:f>
              <c:strCache>
                <c:ptCount val="1"/>
                <c:pt idx="0">
                  <c:v>Total</c:v>
                </c:pt>
              </c:strCache>
            </c:strRef>
          </c:tx>
          <c:spPr>
            <a:ln w="28575" cap="rnd">
              <a:solidFill>
                <a:schemeClr val="bg1"/>
              </a:solidFill>
              <a:round/>
            </a:ln>
            <a:effectLst/>
          </c:spPr>
          <c:marker>
            <c:symbol val="circle"/>
            <c:size val="5"/>
            <c:spPr>
              <a:solidFill>
                <a:schemeClr val="tx2">
                  <a:lumMod val="50000"/>
                </a:schemeClr>
              </a:solidFill>
              <a:ln w="9525">
                <a:solidFill>
                  <a:schemeClr val="bg1"/>
                </a:solidFill>
              </a:ln>
              <a:effectLst/>
              <a:scene3d>
                <a:camera prst="orthographicFront"/>
                <a:lightRig rig="threePt" dir="t"/>
              </a:scene3d>
              <a:sp3d>
                <a:bevelT w="190500" h="38100"/>
              </a:sp3d>
            </c:spPr>
          </c:marker>
          <c:cat>
            <c:strRef>
              <c:f>PIVOT!$E$25:$E$30</c:f>
              <c:strCache>
                <c:ptCount val="5"/>
                <c:pt idx="0">
                  <c:v>Jan</c:v>
                </c:pt>
                <c:pt idx="1">
                  <c:v>Feb</c:v>
                </c:pt>
                <c:pt idx="2">
                  <c:v>May</c:v>
                </c:pt>
                <c:pt idx="3">
                  <c:v>Jun</c:v>
                </c:pt>
                <c:pt idx="4">
                  <c:v>Sep</c:v>
                </c:pt>
              </c:strCache>
            </c:strRef>
          </c:cat>
          <c:val>
            <c:numRef>
              <c:f>PIVOT!$F$25:$F$30</c:f>
              <c:numCache>
                <c:formatCode>"₹"\ #,##0.00</c:formatCode>
                <c:ptCount val="5"/>
                <c:pt idx="0">
                  <c:v>956.39</c:v>
                </c:pt>
                <c:pt idx="1">
                  <c:v>1565.92</c:v>
                </c:pt>
                <c:pt idx="2">
                  <c:v>3815.93</c:v>
                </c:pt>
                <c:pt idx="3">
                  <c:v>5103.68</c:v>
                </c:pt>
                <c:pt idx="4">
                  <c:v>4186.3500000000004</c:v>
                </c:pt>
              </c:numCache>
            </c:numRef>
          </c:val>
          <c:smooth val="0"/>
          <c:extLst>
            <c:ext xmlns:c16="http://schemas.microsoft.com/office/drawing/2014/chart" uri="{C3380CC4-5D6E-409C-BE32-E72D297353CC}">
              <c16:uniqueId val="{00000000-C861-4D89-A5A2-B2B1CFDA0647}"/>
            </c:ext>
          </c:extLst>
        </c:ser>
        <c:dLbls>
          <c:showLegendKey val="0"/>
          <c:showVal val="0"/>
          <c:showCatName val="0"/>
          <c:showSerName val="0"/>
          <c:showPercent val="0"/>
          <c:showBubbleSize val="0"/>
        </c:dLbls>
        <c:marker val="1"/>
        <c:smooth val="0"/>
        <c:axId val="179127216"/>
        <c:axId val="1237250160"/>
      </c:lineChart>
      <c:catAx>
        <c:axId val="1791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37250160"/>
        <c:crosses val="autoZero"/>
        <c:auto val="1"/>
        <c:lblAlgn val="ctr"/>
        <c:lblOffset val="100"/>
        <c:noMultiLvlLbl val="0"/>
      </c:catAx>
      <c:valAx>
        <c:axId val="1237250160"/>
        <c:scaling>
          <c:orientation val="minMax"/>
        </c:scaling>
        <c:delete val="1"/>
        <c:axPos val="l"/>
        <c:numFmt formatCode="&quot;₹&quot;\ #,##0.00" sourceLinked="1"/>
        <c:majorTickMark val="none"/>
        <c:minorTickMark val="none"/>
        <c:tickLblPos val="nextTo"/>
        <c:crossAx val="179127216"/>
        <c:crosses val="autoZero"/>
        <c:crossBetween val="between"/>
      </c:valAx>
      <c:spPr>
        <a:noFill/>
        <a:ln>
          <a:noFill/>
        </a:ln>
        <a:effectLst>
          <a:softEdge rad="3175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Hospital.xlsx]PIVOT!PivotTable2</c:name>
    <c:fmtId val="12"/>
  </c:pivotSource>
  <c:chart>
    <c:title>
      <c:tx>
        <c:rich>
          <a:bodyPr rot="0" spcFirstLastPara="1" vertOverflow="ellipsis" vert="horz" wrap="square" anchor="ctr" anchorCtr="1"/>
          <a:lstStyle/>
          <a:p>
            <a:pPr>
              <a:defRPr sz="1600" b="0" i="0" u="none" strike="noStrike" kern="1200" spc="0" baseline="0">
                <a:solidFill>
                  <a:schemeClr val="lt1"/>
                </a:solidFill>
                <a:latin typeface="+mn-lt"/>
                <a:ea typeface="+mn-ea"/>
                <a:cs typeface="+mn-cs"/>
              </a:defRPr>
            </a:pPr>
            <a:r>
              <a:rPr lang="en-US" sz="1600" b="1"/>
              <a:t>Average</a:t>
            </a:r>
            <a:r>
              <a:rPr lang="en-US" sz="1600" b="1" baseline="0"/>
              <a:t> Treatment Cost by Treatment Type</a:t>
            </a:r>
            <a:endParaRPr lang="en-US" sz="1600" b="1"/>
          </a:p>
        </c:rich>
      </c:tx>
      <c:layout>
        <c:manualLayout>
          <c:xMode val="edge"/>
          <c:yMode val="edge"/>
          <c:x val="0.19758333333333331"/>
          <c:y val="2.675707203266258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w="139700" h="139700"/>
          </a:sp3d>
        </c:spPr>
        <c:dLbl>
          <c:idx val="0"/>
          <c:layout>
            <c:manualLayout>
              <c:x val="1.3888888888888685E-2"/>
              <c:y val="-1.3291776027996543E-2"/>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w="139700" h="139700"/>
          </a:sp3d>
        </c:spPr>
        <c:dLbl>
          <c:idx val="0"/>
          <c:layout>
            <c:manualLayout>
              <c:x val="-2.7777777777777779E-3"/>
              <c:y val="-2.1916010498688088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w="139700" h="139700"/>
          </a:sp3d>
        </c:spPr>
        <c:dLbl>
          <c:idx val="0"/>
          <c:layout>
            <c:manualLayout>
              <c:x val="-2.7777777777778286E-3"/>
              <c:y val="1.0717410323709113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w="139700" h="139700"/>
          </a:sp3d>
        </c:spPr>
        <c:dLbl>
          <c:idx val="0"/>
          <c:layout>
            <c:manualLayout>
              <c:x val="-2.7777777777778286E-3"/>
              <c:y val="-5.7367308253135022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w="139700" h="139700"/>
          </a:sp3d>
        </c:spPr>
        <c:dLbl>
          <c:idx val="0"/>
          <c:layout>
            <c:manualLayout>
              <c:x val="-5.5555555555555558E-3"/>
              <c:y val="-7.0082385535141442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PIVOT!$I$23</c:f>
              <c:strCache>
                <c:ptCount val="1"/>
                <c:pt idx="0">
                  <c:v>Total</c:v>
                </c:pt>
              </c:strCache>
            </c:strRef>
          </c:tx>
          <c:spPr>
            <a:solidFill>
              <a:schemeClr val="accent1"/>
            </a:solidFill>
            <a:ln>
              <a:noFill/>
            </a:ln>
            <a:effectLst/>
            <a:scene3d>
              <a:camera prst="orthographicFront"/>
              <a:lightRig rig="threePt" dir="t"/>
            </a:scene3d>
            <a:sp3d>
              <a:bevelT w="139700" h="139700"/>
            </a:sp3d>
          </c:spPr>
          <c:invertIfNegative val="0"/>
          <c:dPt>
            <c:idx val="0"/>
            <c:invertIfNegative val="0"/>
            <c:bubble3D val="0"/>
            <c:spPr>
              <a:solidFill>
                <a:schemeClr val="accent1"/>
              </a:solidFill>
              <a:ln>
                <a:noFill/>
              </a:ln>
              <a:effectLst/>
              <a:scene3d>
                <a:camera prst="orthographicFront"/>
                <a:lightRig rig="threePt" dir="t"/>
              </a:scene3d>
              <a:sp3d>
                <a:bevelT w="139700" h="139700"/>
              </a:sp3d>
            </c:spPr>
            <c:extLst>
              <c:ext xmlns:c16="http://schemas.microsoft.com/office/drawing/2014/chart" uri="{C3380CC4-5D6E-409C-BE32-E72D297353CC}">
                <c16:uniqueId val="{00000005-E0F0-4658-8667-D486678395E3}"/>
              </c:ext>
            </c:extLst>
          </c:dPt>
          <c:dPt>
            <c:idx val="1"/>
            <c:invertIfNegative val="0"/>
            <c:bubble3D val="0"/>
            <c:extLst>
              <c:ext xmlns:c16="http://schemas.microsoft.com/office/drawing/2014/chart" uri="{C3380CC4-5D6E-409C-BE32-E72D297353CC}">
                <c16:uniqueId val="{00000004-E0F0-4658-8667-D486678395E3}"/>
              </c:ext>
            </c:extLst>
          </c:dPt>
          <c:dPt>
            <c:idx val="2"/>
            <c:invertIfNegative val="0"/>
            <c:bubble3D val="0"/>
            <c:extLst>
              <c:ext xmlns:c16="http://schemas.microsoft.com/office/drawing/2014/chart" uri="{C3380CC4-5D6E-409C-BE32-E72D297353CC}">
                <c16:uniqueId val="{00000003-E0F0-4658-8667-D486678395E3}"/>
              </c:ext>
            </c:extLst>
          </c:dPt>
          <c:dPt>
            <c:idx val="3"/>
            <c:invertIfNegative val="0"/>
            <c:bubble3D val="0"/>
            <c:extLst>
              <c:ext xmlns:c16="http://schemas.microsoft.com/office/drawing/2014/chart" uri="{C3380CC4-5D6E-409C-BE32-E72D297353CC}">
                <c16:uniqueId val="{00000002-E0F0-4658-8667-D486678395E3}"/>
              </c:ext>
            </c:extLst>
          </c:dPt>
          <c:dPt>
            <c:idx val="4"/>
            <c:invertIfNegative val="0"/>
            <c:bubble3D val="0"/>
            <c:extLst>
              <c:ext xmlns:c16="http://schemas.microsoft.com/office/drawing/2014/chart" uri="{C3380CC4-5D6E-409C-BE32-E72D297353CC}">
                <c16:uniqueId val="{00000001-E0F0-4658-8667-D486678395E3}"/>
              </c:ext>
            </c:extLst>
          </c:dPt>
          <c:dLbls>
            <c:dLbl>
              <c:idx val="0"/>
              <c:layout>
                <c:manualLayout>
                  <c:x val="-5.5555555555555558E-3"/>
                  <c:y val="-7.00823855351414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F0-4658-8667-D486678395E3}"/>
                </c:ext>
              </c:extLst>
            </c:dLbl>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PIVOT!$H$24:$H$25</c:f>
              <c:strCache>
                <c:ptCount val="1"/>
                <c:pt idx="0">
                  <c:v>Chemotherapy</c:v>
                </c:pt>
              </c:strCache>
            </c:strRef>
          </c:cat>
          <c:val>
            <c:numRef>
              <c:f>PIVOT!$I$24:$I$25</c:f>
              <c:numCache>
                <c:formatCode>"₹"\ #,##0.00</c:formatCode>
                <c:ptCount val="1"/>
                <c:pt idx="0">
                  <c:v>2662.686666666667</c:v>
                </c:pt>
              </c:numCache>
            </c:numRef>
          </c:val>
          <c:extLst>
            <c:ext xmlns:c16="http://schemas.microsoft.com/office/drawing/2014/chart" uri="{C3380CC4-5D6E-409C-BE32-E72D297353CC}">
              <c16:uniqueId val="{00000000-E0F0-4658-8667-D486678395E3}"/>
            </c:ext>
          </c:extLst>
        </c:ser>
        <c:dLbls>
          <c:dLblPos val="inBase"/>
          <c:showLegendKey val="0"/>
          <c:showVal val="1"/>
          <c:showCatName val="0"/>
          <c:showSerName val="0"/>
          <c:showPercent val="0"/>
          <c:showBubbleSize val="0"/>
        </c:dLbls>
        <c:gapWidth val="219"/>
        <c:overlap val="-27"/>
        <c:axId val="224108368"/>
        <c:axId val="113101072"/>
      </c:barChart>
      <c:catAx>
        <c:axId val="2241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13101072"/>
        <c:crosses val="autoZero"/>
        <c:auto val="1"/>
        <c:lblAlgn val="ctr"/>
        <c:lblOffset val="100"/>
        <c:noMultiLvlLbl val="0"/>
      </c:catAx>
      <c:valAx>
        <c:axId val="113101072"/>
        <c:scaling>
          <c:orientation val="minMax"/>
        </c:scaling>
        <c:delete val="1"/>
        <c:axPos val="l"/>
        <c:numFmt formatCode="&quot;₹&quot;\ #,##0.00" sourceLinked="1"/>
        <c:majorTickMark val="none"/>
        <c:minorTickMark val="none"/>
        <c:tickLblPos val="nextTo"/>
        <c:crossAx val="22410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8100000" scaled="1"/>
      <a:tileRect/>
    </a:gradFill>
    <a:ln w="9525" cap="flat" cmpd="sng" algn="ctr">
      <a:noFill/>
      <a:round/>
    </a:ln>
    <a:effectLst>
      <a:outerShdw blurRad="57150" dist="19050" dir="5400000" algn="ctr" rotWithShape="0">
        <a:srgbClr val="000000">
          <a:alpha val="63000"/>
        </a:srgbClr>
      </a:outerShdw>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Hospital.xlsx]PIVOT!PivotTable6</c:name>
    <c:fmtId val="21"/>
  </c:pivotSource>
  <c:chart>
    <c:title>
      <c:tx>
        <c:rich>
          <a:bodyPr rot="0" spcFirstLastPara="1" vertOverflow="ellipsis" vert="horz" wrap="square" anchor="ctr" anchorCtr="1"/>
          <a:lstStyle/>
          <a:p>
            <a:pPr>
              <a:defRPr sz="13800" b="1" i="0" u="none" strike="noStrike" kern="1200" cap="all" spc="50" baseline="0">
                <a:solidFill>
                  <a:schemeClr val="lt1"/>
                </a:solidFill>
                <a:latin typeface="+mn-lt"/>
                <a:ea typeface="+mn-ea"/>
                <a:cs typeface="+mn-cs"/>
              </a:defRPr>
            </a:pPr>
            <a:r>
              <a:rPr lang="en-US" sz="13800"/>
              <a:t>aPPOINTMENT</a:t>
            </a:r>
            <a:r>
              <a:rPr lang="en-US" sz="13800" baseline="0"/>
              <a:t> STATus</a:t>
            </a:r>
            <a:endParaRPr lang="en-US" sz="13800"/>
          </a:p>
        </c:rich>
      </c:tx>
      <c:layout>
        <c:manualLayout>
          <c:xMode val="edge"/>
          <c:yMode val="edge"/>
          <c:x val="0.15031763149654773"/>
          <c:y val="2.0233341093163586E-2"/>
        </c:manualLayout>
      </c:layout>
      <c:overlay val="0"/>
      <c:spPr>
        <a:noFill/>
        <a:ln>
          <a:noFill/>
        </a:ln>
        <a:effectLst>
          <a:innerShdw blurRad="114300">
            <a:prstClr val="black"/>
          </a:innerShdw>
        </a:effectLst>
      </c:spPr>
      <c:txPr>
        <a:bodyPr rot="0" spcFirstLastPara="1" vertOverflow="ellipsis" vert="horz" wrap="square" anchor="ctr" anchorCtr="1"/>
        <a:lstStyle/>
        <a:p>
          <a:pPr>
            <a:defRPr sz="13800" b="1" i="0" u="none" strike="noStrike" kern="1200" cap="all" spc="5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contrasting" dir="t">
              <a:rot lat="0" lon="0" rev="7800000"/>
            </a:lightRig>
          </a:scene3d>
          <a:sp3d>
            <a:bevelT w="139700" h="1397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contrasting" dir="t">
              <a:rot lat="0" lon="0" rev="7800000"/>
            </a:lightRig>
          </a:scene3d>
          <a:sp3d>
            <a:bevelT w="139700" h="139700"/>
          </a:sp3d>
        </c:spPr>
      </c:pivotFmt>
      <c:pivotFmt>
        <c:idx val="8"/>
        <c:spPr>
          <a:solidFill>
            <a:schemeClr val="accent1"/>
          </a:solidFill>
          <a:ln>
            <a:noFill/>
          </a:ln>
          <a:effectLst/>
          <a:scene3d>
            <a:camera prst="orthographicFront"/>
            <a:lightRig rig="contrasting" dir="t">
              <a:rot lat="0" lon="0" rev="7800000"/>
            </a:lightRig>
          </a:scene3d>
          <a:sp3d>
            <a:bevelT w="139700" h="139700"/>
          </a:sp3d>
        </c:spPr>
      </c:pivotFmt>
      <c:pivotFmt>
        <c:idx val="9"/>
        <c:spPr>
          <a:solidFill>
            <a:schemeClr val="accent1"/>
          </a:solidFill>
          <a:ln>
            <a:noFill/>
          </a:ln>
          <a:effectLst/>
          <a:scene3d>
            <a:camera prst="orthographicFront"/>
            <a:lightRig rig="contrasting" dir="t">
              <a:rot lat="0" lon="0" rev="7800000"/>
            </a:lightRig>
          </a:scene3d>
          <a:sp3d>
            <a:bevelT w="139700" h="139700"/>
          </a:sp3d>
        </c:spPr>
      </c:pivotFmt>
      <c:pivotFmt>
        <c:idx val="10"/>
        <c:spPr>
          <a:solidFill>
            <a:schemeClr val="accent1"/>
          </a:solidFill>
          <a:ln>
            <a:noFill/>
          </a:ln>
          <a:effectLst/>
          <a:scene3d>
            <a:camera prst="orthographicFront"/>
            <a:lightRig rig="contrasting" dir="t">
              <a:rot lat="0" lon="0" rev="7800000"/>
            </a:lightRig>
          </a:scene3d>
          <a:sp3d>
            <a:bevelT w="139700" h="139700"/>
          </a:sp3d>
        </c:spPr>
      </c:pivotFmt>
      <c:pivotFmt>
        <c:idx val="11"/>
        <c:spPr>
          <a:solidFill>
            <a:schemeClr val="accent1"/>
          </a:solidFill>
          <a:ln>
            <a:noFill/>
          </a:ln>
          <a:effectLst/>
          <a:scene3d>
            <a:camera prst="orthographicFront"/>
            <a:lightRig rig="contrasting" dir="t">
              <a:rot lat="0" lon="0" rev="7800000"/>
            </a:lightRig>
          </a:scene3d>
          <a:sp3d>
            <a:bevelT w="139700" h="1397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contrasting" dir="t">
              <a:rot lat="0" lon="0" rev="7800000"/>
            </a:lightRig>
          </a:scene3d>
          <a:sp3d>
            <a:bevelT w="139700" h="139700"/>
          </a:sp3d>
        </c:spPr>
      </c:pivotFmt>
      <c:pivotFmt>
        <c:idx val="13"/>
        <c:spPr>
          <a:solidFill>
            <a:schemeClr val="accent1"/>
          </a:solidFill>
          <a:ln>
            <a:noFill/>
          </a:ln>
          <a:effectLst/>
          <a:scene3d>
            <a:camera prst="orthographicFront"/>
            <a:lightRig rig="contrasting" dir="t">
              <a:rot lat="0" lon="0" rev="7800000"/>
            </a:lightRig>
          </a:scene3d>
          <a:sp3d>
            <a:bevelT w="139700" h="139700"/>
          </a:sp3d>
        </c:spPr>
      </c:pivotFmt>
      <c:pivotFmt>
        <c:idx val="14"/>
        <c:spPr>
          <a:solidFill>
            <a:schemeClr val="accent1"/>
          </a:solidFill>
          <a:ln>
            <a:noFill/>
          </a:ln>
          <a:effectLst/>
          <a:scene3d>
            <a:camera prst="orthographicFront"/>
            <a:lightRig rig="contrasting" dir="t">
              <a:rot lat="0" lon="0" rev="7800000"/>
            </a:lightRig>
          </a:scene3d>
          <a:sp3d>
            <a:bevelT w="139700" h="139700"/>
          </a:sp3d>
        </c:spPr>
      </c:pivotFmt>
      <c:pivotFmt>
        <c:idx val="15"/>
        <c:spPr>
          <a:solidFill>
            <a:schemeClr val="accent1"/>
          </a:solidFill>
          <a:ln>
            <a:noFill/>
          </a:ln>
          <a:effectLst/>
          <a:scene3d>
            <a:camera prst="orthographicFront"/>
            <a:lightRig rig="contrasting" dir="t">
              <a:rot lat="0" lon="0" rev="7800000"/>
            </a:lightRig>
          </a:scene3d>
          <a:sp3d>
            <a:bevelT w="139700" h="139700"/>
          </a:sp3d>
        </c:spPr>
      </c:pivotFmt>
      <c:pivotFmt>
        <c:idx val="16"/>
        <c:spPr>
          <a:solidFill>
            <a:schemeClr val="accent1"/>
          </a:solidFill>
          <a:ln>
            <a:noFill/>
          </a:ln>
          <a:effectLst/>
          <a:scene3d>
            <a:camera prst="orthographicFront"/>
            <a:lightRig rig="contrasting" dir="t">
              <a:rot lat="0" lon="0" rev="7800000"/>
            </a:lightRig>
          </a:scene3d>
          <a:sp3d>
            <a:bevelT w="139700" h="139700"/>
          </a:sp3d>
        </c:spPr>
        <c:marker>
          <c:symbol val="none"/>
        </c:marker>
        <c:dLbl>
          <c:idx val="0"/>
          <c:spPr>
            <a:noFill/>
            <a:ln>
              <a:noFill/>
            </a:ln>
            <a:effectLst/>
          </c:spPr>
          <c:txPr>
            <a:bodyPr rot="0" spcFirstLastPara="1" vertOverflow="ellipsis" vert="horz" wrap="square" anchor="ctr" anchorCtr="1"/>
            <a:lstStyle/>
            <a:p>
              <a:pPr>
                <a:defRPr sz="8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contrasting" dir="t">
              <a:rot lat="0" lon="0" rev="7800000"/>
            </a:lightRig>
          </a:scene3d>
          <a:sp3d>
            <a:bevelT w="139700" h="139700"/>
          </a:sp3d>
        </c:spPr>
      </c:pivotFmt>
      <c:pivotFmt>
        <c:idx val="18"/>
        <c:spPr>
          <a:solidFill>
            <a:schemeClr val="accent1"/>
          </a:solidFill>
          <a:ln>
            <a:noFill/>
          </a:ln>
          <a:effectLst/>
          <a:scene3d>
            <a:camera prst="orthographicFront"/>
            <a:lightRig rig="contrasting" dir="t">
              <a:rot lat="0" lon="0" rev="7800000"/>
            </a:lightRig>
          </a:scene3d>
          <a:sp3d>
            <a:bevelT w="139700" h="139700"/>
          </a:sp3d>
        </c:spPr>
      </c:pivotFmt>
      <c:pivotFmt>
        <c:idx val="19"/>
        <c:spPr>
          <a:solidFill>
            <a:schemeClr val="accent1"/>
          </a:solidFill>
          <a:ln>
            <a:noFill/>
          </a:ln>
          <a:effectLst/>
          <a:scene3d>
            <a:camera prst="orthographicFront"/>
            <a:lightRig rig="contrasting" dir="t">
              <a:rot lat="0" lon="0" rev="7800000"/>
            </a:lightRig>
          </a:scene3d>
          <a:sp3d>
            <a:bevelT w="139700" h="139700"/>
          </a:sp3d>
        </c:spPr>
      </c:pivotFmt>
      <c:pivotFmt>
        <c:idx val="20"/>
        <c:spPr>
          <a:solidFill>
            <a:schemeClr val="accent1"/>
          </a:solidFill>
          <a:ln>
            <a:noFill/>
          </a:ln>
          <a:effectLst/>
          <a:scene3d>
            <a:camera prst="orthographicFront"/>
            <a:lightRig rig="contrasting" dir="t">
              <a:rot lat="0" lon="0" rev="7800000"/>
            </a:lightRig>
          </a:scene3d>
          <a:sp3d>
            <a:bevelT w="139700" h="139700"/>
          </a:sp3d>
        </c:spPr>
      </c:pivotFmt>
    </c:pivotFmts>
    <c:plotArea>
      <c:layout/>
      <c:doughnutChart>
        <c:varyColors val="1"/>
        <c:ser>
          <c:idx val="0"/>
          <c:order val="0"/>
          <c:tx>
            <c:strRef>
              <c:f>PIVOT!$C$14</c:f>
              <c:strCache>
                <c:ptCount val="1"/>
                <c:pt idx="0">
                  <c:v>Total</c:v>
                </c:pt>
              </c:strCache>
            </c:strRef>
          </c:tx>
          <c:spPr>
            <a:scene3d>
              <a:camera prst="orthographicFront"/>
              <a:lightRig rig="contrasting" dir="t">
                <a:rot lat="0" lon="0" rev="7800000"/>
              </a:lightRig>
            </a:scene3d>
            <a:sp3d>
              <a:bevelT w="139700" h="139700"/>
            </a:sp3d>
          </c:spPr>
          <c:dPt>
            <c:idx val="0"/>
            <c:bubble3D val="0"/>
            <c:spPr>
              <a:solidFill>
                <a:schemeClr val="accent1"/>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1-B01A-43C8-BD58-5D3A71D97EFA}"/>
              </c:ext>
            </c:extLst>
          </c:dPt>
          <c:dPt>
            <c:idx val="1"/>
            <c:bubble3D val="0"/>
            <c:spPr>
              <a:solidFill>
                <a:schemeClr val="accent2"/>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3-B01A-43C8-BD58-5D3A71D97EFA}"/>
              </c:ext>
            </c:extLst>
          </c:dPt>
          <c:dPt>
            <c:idx val="2"/>
            <c:bubble3D val="0"/>
            <c:spPr>
              <a:solidFill>
                <a:schemeClr val="accent3"/>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5-B01A-43C8-BD58-5D3A71D97EFA}"/>
              </c:ext>
            </c:extLst>
          </c:dPt>
          <c:dPt>
            <c:idx val="3"/>
            <c:bubble3D val="0"/>
            <c:spPr>
              <a:solidFill>
                <a:schemeClr val="accent4"/>
              </a:solidFill>
              <a:ln>
                <a:noFill/>
              </a:ln>
              <a:effectLst/>
              <a:scene3d>
                <a:camera prst="orthographicFront"/>
                <a:lightRig rig="contrasting" dir="t">
                  <a:rot lat="0" lon="0" rev="7800000"/>
                </a:lightRig>
              </a:scene3d>
              <a:sp3d>
                <a:bevelT w="139700" h="139700"/>
              </a:sp3d>
            </c:spPr>
            <c:extLst>
              <c:ext xmlns:c16="http://schemas.microsoft.com/office/drawing/2014/chart" uri="{C3380CC4-5D6E-409C-BE32-E72D297353CC}">
                <c16:uniqueId val="{00000007-B01A-43C8-BD58-5D3A71D97EFA}"/>
              </c:ext>
            </c:extLst>
          </c:dPt>
          <c:dLbls>
            <c:spPr>
              <a:noFill/>
              <a:ln>
                <a:noFill/>
              </a:ln>
              <a:effectLst/>
            </c:spPr>
            <c:txPr>
              <a:bodyPr rot="0" spcFirstLastPara="1" vertOverflow="ellipsis" vert="horz" wrap="square" anchor="ctr" anchorCtr="1"/>
              <a:lstStyle/>
              <a:p>
                <a:pPr>
                  <a:defRPr sz="8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PIVOT!$B$15:$B$18</c:f>
              <c:strCache>
                <c:ptCount val="3"/>
                <c:pt idx="0">
                  <c:v>Cancelled</c:v>
                </c:pt>
                <c:pt idx="1">
                  <c:v>Completed</c:v>
                </c:pt>
                <c:pt idx="2">
                  <c:v>Scheduled</c:v>
                </c:pt>
              </c:strCache>
            </c:strRef>
          </c:cat>
          <c:val>
            <c:numRef>
              <c:f>PIVOT!$C$15:$C$18</c:f>
              <c:numCache>
                <c:formatCode>General</c:formatCode>
                <c:ptCount val="3"/>
                <c:pt idx="0">
                  <c:v>1</c:v>
                </c:pt>
                <c:pt idx="1">
                  <c:v>1</c:v>
                </c:pt>
                <c:pt idx="2">
                  <c:v>4</c:v>
                </c:pt>
              </c:numCache>
            </c:numRef>
          </c:val>
          <c:extLst>
            <c:ext xmlns:c16="http://schemas.microsoft.com/office/drawing/2014/chart" uri="{C3380CC4-5D6E-409C-BE32-E72D297353CC}">
              <c16:uniqueId val="{00000008-B01A-43C8-BD58-5D3A71D97EF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8000" b="1" i="0" u="none" strike="noStrike" kern="1200" baseline="0">
                <a:solidFill>
                  <a:schemeClr val="lt1"/>
                </a:solidFill>
                <a:latin typeface="+mn-lt"/>
                <a:ea typeface="+mn-ea"/>
                <a:cs typeface="+mn-cs"/>
              </a:defRPr>
            </a:pPr>
            <a:endParaRPr lang="en-US"/>
          </a:p>
        </c:txPr>
      </c:legendEntry>
      <c:legendEntry>
        <c:idx val="1"/>
        <c:txPr>
          <a:bodyPr rot="0" spcFirstLastPara="1" vertOverflow="ellipsis" vert="horz" wrap="square" anchor="ctr" anchorCtr="1"/>
          <a:lstStyle/>
          <a:p>
            <a:pPr>
              <a:defRPr sz="7200" b="1" i="0" u="none" strike="noStrike" kern="1200" baseline="0">
                <a:solidFill>
                  <a:schemeClr val="lt1"/>
                </a:solidFill>
                <a:latin typeface="+mn-lt"/>
                <a:ea typeface="+mn-ea"/>
                <a:cs typeface="+mn-cs"/>
              </a:defRPr>
            </a:pPr>
            <a:endParaRPr lang="en-US"/>
          </a:p>
        </c:txPr>
      </c:legendEntry>
      <c:legendEntry>
        <c:idx val="2"/>
        <c:txPr>
          <a:bodyPr rot="0" spcFirstLastPara="1" vertOverflow="ellipsis" vert="horz" wrap="square" anchor="ctr" anchorCtr="1"/>
          <a:lstStyle/>
          <a:p>
            <a:pPr>
              <a:defRPr sz="8800" b="1" i="0" u="none" strike="noStrike" kern="1200" baseline="0">
                <a:solidFill>
                  <a:schemeClr val="lt1"/>
                </a:solidFill>
                <a:latin typeface="+mn-lt"/>
                <a:ea typeface="+mn-ea"/>
                <a:cs typeface="+mn-cs"/>
              </a:defRPr>
            </a:pPr>
            <a:endParaRPr lang="en-US"/>
          </a:p>
        </c:txPr>
      </c:legendEntry>
      <c:layout>
        <c:manualLayout>
          <c:xMode val="edge"/>
          <c:yMode val="edge"/>
          <c:x val="0.73573605725000257"/>
          <c:y val="0.20046234985711406"/>
          <c:w val="0.22345676810225176"/>
          <c:h val="0.62478539735470984"/>
        </c:manualLayout>
      </c:layout>
      <c:overlay val="0"/>
      <c:spPr>
        <a:noFill/>
        <a:ln>
          <a:noFill/>
        </a:ln>
        <a:effectLst/>
      </c:spPr>
      <c:txPr>
        <a:bodyPr rot="0" spcFirstLastPara="1" vertOverflow="ellipsis" vert="horz" wrap="square" anchor="ctr" anchorCtr="1"/>
        <a:lstStyle/>
        <a:p>
          <a:pPr>
            <a:defRPr sz="40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Hospital.xlsx]PIVOT!PivotTable8</c:name>
    <c:fmtId val="13"/>
  </c:pivotSource>
  <c:chart>
    <c:title>
      <c:tx>
        <c:rich>
          <a:bodyPr rot="0" spcFirstLastPara="1" vertOverflow="ellipsis" vert="horz" wrap="square" anchor="ctr" anchorCtr="1"/>
          <a:lstStyle/>
          <a:p>
            <a:pPr>
              <a:defRPr sz="13800" b="1" i="0" u="none" strike="noStrike" kern="1200" baseline="0">
                <a:solidFill>
                  <a:schemeClr val="lt1"/>
                </a:solidFill>
                <a:latin typeface="+mn-lt"/>
                <a:ea typeface="+mn-ea"/>
                <a:cs typeface="+mn-cs"/>
              </a:defRPr>
            </a:pPr>
            <a:r>
              <a:rPr lang="en-US" sz="13800"/>
              <a:t>Appointment by</a:t>
            </a:r>
            <a:r>
              <a:rPr lang="en-US" sz="13800" baseline="0"/>
              <a:t> Doctor </a:t>
            </a:r>
            <a:endParaRPr lang="en-US" sz="13800"/>
          </a:p>
        </c:rich>
      </c:tx>
      <c:overlay val="0"/>
      <c:spPr>
        <a:noFill/>
        <a:ln>
          <a:noFill/>
        </a:ln>
        <a:effectLst/>
      </c:spPr>
      <c:txPr>
        <a:bodyPr rot="0" spcFirstLastPara="1" vertOverflow="ellipsis" vert="horz" wrap="square" anchor="ctr" anchorCtr="1"/>
        <a:lstStyle/>
        <a:p>
          <a:pPr>
            <a:defRPr sz="138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27112920437411"/>
          <c:y val="0.15040710042823593"/>
          <c:w val="0.74672887079562578"/>
          <c:h val="0.84959289957176409"/>
        </c:manualLayout>
      </c:layout>
      <c:barChart>
        <c:barDir val="bar"/>
        <c:grouping val="clustered"/>
        <c:varyColors val="0"/>
        <c:ser>
          <c:idx val="0"/>
          <c:order val="0"/>
          <c:tx>
            <c:strRef>
              <c:f>PIVOT!$I$8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T w="139700" h="139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6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PIVOT!$H$9:$H$10</c:f>
              <c:strCache>
                <c:ptCount val="1"/>
                <c:pt idx="0">
                  <c:v>Sarah Taylor</c:v>
                </c:pt>
              </c:strCache>
            </c:strRef>
          </c:cat>
          <c:val>
            <c:numRef>
              <c:f>PIVOT!$I$9:$I$10</c:f>
              <c:numCache>
                <c:formatCode>General</c:formatCode>
                <c:ptCount val="1"/>
                <c:pt idx="0">
                  <c:v>6</c:v>
                </c:pt>
              </c:numCache>
            </c:numRef>
          </c:val>
          <c:extLst>
            <c:ext xmlns:c16="http://schemas.microsoft.com/office/drawing/2014/chart" uri="{C3380CC4-5D6E-409C-BE32-E72D297353CC}">
              <c16:uniqueId val="{00000000-2969-4D57-A483-F8A615A6FC9F}"/>
            </c:ext>
          </c:extLst>
        </c:ser>
        <c:dLbls>
          <c:dLblPos val="inEnd"/>
          <c:showLegendKey val="0"/>
          <c:showVal val="1"/>
          <c:showCatName val="0"/>
          <c:showSerName val="0"/>
          <c:showPercent val="0"/>
          <c:showBubbleSize val="0"/>
        </c:dLbls>
        <c:gapWidth val="100"/>
        <c:axId val="1316995440"/>
        <c:axId val="1237250160"/>
      </c:barChart>
      <c:catAx>
        <c:axId val="13169954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6000" b="1" i="0" u="none" strike="noStrike" kern="1200" baseline="0">
                <a:solidFill>
                  <a:schemeClr val="lt1"/>
                </a:solidFill>
                <a:latin typeface="+mn-lt"/>
                <a:ea typeface="+mn-ea"/>
                <a:cs typeface="+mn-cs"/>
              </a:defRPr>
            </a:pPr>
            <a:endParaRPr lang="en-US"/>
          </a:p>
        </c:txPr>
        <c:crossAx val="1237250160"/>
        <c:crosses val="autoZero"/>
        <c:auto val="1"/>
        <c:lblAlgn val="ctr"/>
        <c:lblOffset val="100"/>
        <c:noMultiLvlLbl val="0"/>
      </c:catAx>
      <c:valAx>
        <c:axId val="1237250160"/>
        <c:scaling>
          <c:orientation val="minMax"/>
        </c:scaling>
        <c:delete val="1"/>
        <c:axPos val="b"/>
        <c:numFmt formatCode="General" sourceLinked="1"/>
        <c:majorTickMark val="none"/>
        <c:minorTickMark val="none"/>
        <c:tickLblPos val="nextTo"/>
        <c:crossAx val="131699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Hospital.xlsx]PIVOT!PivotTable14</c:name>
    <c:fmtId val="28"/>
  </c:pivotSource>
  <c:chart>
    <c:title>
      <c:tx>
        <c:rich>
          <a:bodyPr rot="0" spcFirstLastPara="1" vertOverflow="ellipsis" vert="horz" wrap="square" anchor="ctr" anchorCtr="1"/>
          <a:lstStyle/>
          <a:p>
            <a:pPr>
              <a:defRPr sz="11500" b="1" i="0" u="none" strike="noStrike" kern="1200" spc="0" baseline="0">
                <a:solidFill>
                  <a:schemeClr val="lt1"/>
                </a:solidFill>
                <a:latin typeface="+mn-lt"/>
                <a:ea typeface="+mn-ea"/>
                <a:cs typeface="+mn-cs"/>
              </a:defRPr>
            </a:pPr>
            <a:r>
              <a:rPr lang="en-US" sz="11500" b="1"/>
              <a:t>Monthly Billing Trend</a:t>
            </a:r>
          </a:p>
        </c:rich>
      </c:tx>
      <c:layout>
        <c:manualLayout>
          <c:xMode val="edge"/>
          <c:yMode val="edge"/>
          <c:x val="0.28800492834691016"/>
          <c:y val="1.3646783881444623E-2"/>
        </c:manualLayout>
      </c:layout>
      <c:overlay val="0"/>
      <c:spPr>
        <a:noFill/>
        <a:ln>
          <a:noFill/>
        </a:ln>
        <a:effectLst/>
      </c:spPr>
      <c:txPr>
        <a:bodyPr rot="0" spcFirstLastPara="1" vertOverflow="ellipsis" vert="horz" wrap="square" anchor="ctr" anchorCtr="1"/>
        <a:lstStyle/>
        <a:p>
          <a:pPr>
            <a:defRPr sz="11500" b="1"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circle"/>
          <c:size val="5"/>
          <c:spPr>
            <a:solidFill>
              <a:schemeClr val="tx2">
                <a:lumMod val="50000"/>
              </a:schemeClr>
            </a:solidFill>
            <a:ln w="9525">
              <a:solidFill>
                <a:schemeClr val="bg1"/>
              </a:solidFill>
            </a:ln>
            <a:effectLst/>
            <a:scene3d>
              <a:camera prst="orthographicFront"/>
              <a:lightRig rig="threePt" dir="t"/>
            </a:scene3d>
            <a:sp3d>
              <a:bevelT w="190500" h="381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5"/>
          <c:spPr>
            <a:solidFill>
              <a:schemeClr val="tx2">
                <a:lumMod val="50000"/>
              </a:schemeClr>
            </a:solidFill>
            <a:ln w="9525">
              <a:solidFill>
                <a:schemeClr val="bg1"/>
              </a:solidFill>
            </a:ln>
            <a:effectLst/>
            <a:scene3d>
              <a:camera prst="orthographicFront"/>
              <a:lightRig rig="threePt" dir="t"/>
            </a:scene3d>
            <a:sp3d>
              <a:bevelT w="190500" h="381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2700" cap="flat" cmpd="sng" algn="ctr">
            <a:solidFill>
              <a:schemeClr val="accent2"/>
            </a:solidFill>
            <a:prstDash val="solid"/>
            <a:miter lim="800000"/>
          </a:ln>
          <a:effectLst/>
        </c:spPr>
        <c:marker>
          <c:symbol val="circle"/>
          <c:size val="72"/>
          <c:spPr>
            <a:pattFill prst="pct5">
              <a:fgClr>
                <a:schemeClr val="lt1"/>
              </a:fgClr>
              <a:bgClr>
                <a:schemeClr val="bg1"/>
              </a:bgClr>
            </a:pattFill>
            <a:ln w="12700" cap="flat" cmpd="sng" algn="ctr">
              <a:solidFill>
                <a:schemeClr val="accent2"/>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57804688185848E-2"/>
          <c:y val="0.16143833148917336"/>
          <c:w val="0.87493211106104452"/>
          <c:h val="0.6323659230096238"/>
        </c:manualLayout>
      </c:layout>
      <c:lineChart>
        <c:grouping val="stacked"/>
        <c:varyColors val="0"/>
        <c:ser>
          <c:idx val="0"/>
          <c:order val="0"/>
          <c:tx>
            <c:strRef>
              <c:f>PIVOT!$F$24</c:f>
              <c:strCache>
                <c:ptCount val="1"/>
                <c:pt idx="0">
                  <c:v>Total</c:v>
                </c:pt>
              </c:strCache>
            </c:strRef>
          </c:tx>
          <c:spPr>
            <a:ln w="12700" cap="flat" cmpd="sng" algn="ctr">
              <a:solidFill>
                <a:schemeClr val="accent2"/>
              </a:solidFill>
              <a:prstDash val="solid"/>
              <a:miter lim="800000"/>
            </a:ln>
            <a:effectLst/>
          </c:spPr>
          <c:marker>
            <c:symbol val="circle"/>
            <c:size val="72"/>
            <c:spPr>
              <a:pattFill prst="pct5">
                <a:fgClr>
                  <a:schemeClr val="lt1"/>
                </a:fgClr>
                <a:bgClr>
                  <a:schemeClr val="bg1"/>
                </a:bgClr>
              </a:pattFill>
              <a:ln w="12700" cap="flat" cmpd="sng" algn="ctr">
                <a:solidFill>
                  <a:schemeClr val="accent2"/>
                </a:solidFill>
                <a:prstDash val="solid"/>
                <a:miter lim="800000"/>
              </a:ln>
              <a:effectLst/>
            </c:spPr>
          </c:marker>
          <c:cat>
            <c:strRef>
              <c:f>PIVOT!$E$25:$E$30</c:f>
              <c:strCache>
                <c:ptCount val="5"/>
                <c:pt idx="0">
                  <c:v>Jan</c:v>
                </c:pt>
                <c:pt idx="1">
                  <c:v>Feb</c:v>
                </c:pt>
                <c:pt idx="2">
                  <c:v>May</c:v>
                </c:pt>
                <c:pt idx="3">
                  <c:v>Jun</c:v>
                </c:pt>
                <c:pt idx="4">
                  <c:v>Sep</c:v>
                </c:pt>
              </c:strCache>
            </c:strRef>
          </c:cat>
          <c:val>
            <c:numRef>
              <c:f>PIVOT!$F$25:$F$30</c:f>
              <c:numCache>
                <c:formatCode>"₹"\ #,##0.00</c:formatCode>
                <c:ptCount val="5"/>
                <c:pt idx="0">
                  <c:v>956.39</c:v>
                </c:pt>
                <c:pt idx="1">
                  <c:v>1565.92</c:v>
                </c:pt>
                <c:pt idx="2">
                  <c:v>3815.93</c:v>
                </c:pt>
                <c:pt idx="3">
                  <c:v>5103.68</c:v>
                </c:pt>
                <c:pt idx="4">
                  <c:v>4186.3500000000004</c:v>
                </c:pt>
              </c:numCache>
            </c:numRef>
          </c:val>
          <c:smooth val="0"/>
          <c:extLst>
            <c:ext xmlns:c16="http://schemas.microsoft.com/office/drawing/2014/chart" uri="{C3380CC4-5D6E-409C-BE32-E72D297353CC}">
              <c16:uniqueId val="{00000000-1780-48CD-AC09-82C4083A65E7}"/>
            </c:ext>
          </c:extLst>
        </c:ser>
        <c:dLbls>
          <c:showLegendKey val="0"/>
          <c:showVal val="0"/>
          <c:showCatName val="0"/>
          <c:showSerName val="0"/>
          <c:showPercent val="0"/>
          <c:showBubbleSize val="0"/>
        </c:dLbls>
        <c:marker val="1"/>
        <c:smooth val="0"/>
        <c:axId val="179127216"/>
        <c:axId val="1237250160"/>
      </c:lineChart>
      <c:catAx>
        <c:axId val="1791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chemeClr val="lt1"/>
                </a:solidFill>
                <a:latin typeface="+mn-lt"/>
                <a:ea typeface="+mn-ea"/>
                <a:cs typeface="+mn-cs"/>
              </a:defRPr>
            </a:pPr>
            <a:endParaRPr lang="en-US"/>
          </a:p>
        </c:txPr>
        <c:crossAx val="1237250160"/>
        <c:crosses val="autoZero"/>
        <c:auto val="1"/>
        <c:lblAlgn val="ctr"/>
        <c:lblOffset val="100"/>
        <c:noMultiLvlLbl val="0"/>
      </c:catAx>
      <c:valAx>
        <c:axId val="1237250160"/>
        <c:scaling>
          <c:orientation val="minMax"/>
        </c:scaling>
        <c:delete val="1"/>
        <c:axPos val="l"/>
        <c:numFmt formatCode="&quot;₹&quot;\ #,##0.00" sourceLinked="1"/>
        <c:majorTickMark val="none"/>
        <c:minorTickMark val="none"/>
        <c:tickLblPos val="nextTo"/>
        <c:crossAx val="179127216"/>
        <c:crosses val="autoZero"/>
        <c:crossBetween val="between"/>
      </c:valAx>
      <c:spPr>
        <a:noFill/>
        <a:ln>
          <a:noFill/>
        </a:ln>
        <a:effectLst>
          <a:softEdge rad="3175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Hospital.xlsx]PIVOT!PivotTable2</c:name>
    <c:fmtId val="16"/>
  </c:pivotSource>
  <c:chart>
    <c:title>
      <c:tx>
        <c:rich>
          <a:bodyPr rot="0" spcFirstLastPara="1" vertOverflow="ellipsis" vert="horz" wrap="square" anchor="ctr" anchorCtr="1"/>
          <a:lstStyle/>
          <a:p>
            <a:pPr>
              <a:defRPr sz="15200" b="1" i="0" u="none" strike="noStrike" kern="1200" spc="0" baseline="0">
                <a:solidFill>
                  <a:schemeClr val="lt1"/>
                </a:solidFill>
                <a:latin typeface="+mn-lt"/>
                <a:ea typeface="+mn-ea"/>
                <a:cs typeface="+mn-cs"/>
              </a:defRPr>
            </a:pPr>
            <a:r>
              <a:rPr lang="en-US" sz="15200" b="1"/>
              <a:t>Average Treatment Cost by Treatment Type</a:t>
            </a:r>
          </a:p>
        </c:rich>
      </c:tx>
      <c:layout>
        <c:manualLayout>
          <c:xMode val="edge"/>
          <c:yMode val="edge"/>
          <c:x val="0.13812385613960415"/>
          <c:y val="3.8763946276450197E-2"/>
        </c:manualLayout>
      </c:layout>
      <c:overlay val="0"/>
      <c:spPr>
        <a:noFill/>
        <a:ln>
          <a:noFill/>
        </a:ln>
        <a:effectLst/>
      </c:spPr>
      <c:txPr>
        <a:bodyPr rot="0" spcFirstLastPara="1" vertOverflow="ellipsis" vert="horz" wrap="square" anchor="ctr" anchorCtr="1"/>
        <a:lstStyle/>
        <a:p>
          <a:pPr>
            <a:defRPr sz="15200" b="1"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39700" h="139700"/>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w="139700" h="139700"/>
          </a:sp3d>
        </c:spPr>
        <c:dLbl>
          <c:idx val="0"/>
          <c:layout>
            <c:manualLayout>
              <c:x val="1.3888888888888685E-2"/>
              <c:y val="-1.3291776027996543E-2"/>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w="139700" h="139700"/>
          </a:sp3d>
        </c:spPr>
        <c:dLbl>
          <c:idx val="0"/>
          <c:layout>
            <c:manualLayout>
              <c:x val="-2.7777777777777779E-3"/>
              <c:y val="-2.1916010498688088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w="139700" h="139700"/>
          </a:sp3d>
        </c:spPr>
        <c:dLbl>
          <c:idx val="0"/>
          <c:layout>
            <c:manualLayout>
              <c:x val="-2.7777777777778286E-3"/>
              <c:y val="1.0717410323709113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w="139700" h="139700"/>
          </a:sp3d>
        </c:spPr>
        <c:dLbl>
          <c:idx val="0"/>
          <c:layout>
            <c:manualLayout>
              <c:x val="-2.7777777777778286E-3"/>
              <c:y val="-5.7367308253135022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w="139700" h="139700"/>
          </a:sp3d>
        </c:spPr>
        <c:dLbl>
          <c:idx val="0"/>
          <c:layout>
            <c:manualLayout>
              <c:x val="-5.5555555555555558E-3"/>
              <c:y val="-7.0082385535141442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w="139700" h="139700"/>
          </a:sp3d>
        </c:spPr>
        <c:dLbl>
          <c:idx val="0"/>
          <c:layout>
            <c:manualLayout>
              <c:x val="-5.5555555555555558E-3"/>
              <c:y val="-7.0082385535141442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w="139700" h="139700"/>
          </a:sp3d>
        </c:spPr>
        <c:dLbl>
          <c:idx val="0"/>
          <c:layout>
            <c:manualLayout>
              <c:x val="-2.7777777777778286E-3"/>
              <c:y val="-5.7367308253135022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w="139700" h="139700"/>
          </a:sp3d>
        </c:spPr>
        <c:dLbl>
          <c:idx val="0"/>
          <c:layout>
            <c:manualLayout>
              <c:x val="-2.7777777777778286E-3"/>
              <c:y val="1.0717410323709113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threePt" dir="t"/>
          </a:scene3d>
          <a:sp3d>
            <a:bevelT w="139700" h="139700"/>
          </a:sp3d>
        </c:spPr>
        <c:dLbl>
          <c:idx val="0"/>
          <c:layout>
            <c:manualLayout>
              <c:x val="-2.7777777777777779E-3"/>
              <c:y val="-2.1916010498688088E-3"/>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threePt" dir="t"/>
          </a:scene3d>
          <a:sp3d>
            <a:bevelT w="139700" h="139700"/>
          </a:sp3d>
        </c:spPr>
        <c:dLbl>
          <c:idx val="0"/>
          <c:layout>
            <c:manualLayout>
              <c:x val="1.3888888888888685E-2"/>
              <c:y val="-1.3291776027996543E-2"/>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alanced" dir="t">
              <a:rot lat="0" lon="0" rev="8700000"/>
            </a:lightRig>
          </a:scene3d>
          <a:sp3d>
            <a:bevelT w="190500" h="38100"/>
          </a:sp3d>
        </c:spPr>
        <c:marker>
          <c:symbol val="none"/>
        </c:marker>
        <c:dLbl>
          <c:idx val="0"/>
          <c:spPr>
            <a:noFill/>
            <a:ln>
              <a:noFill/>
            </a:ln>
            <a:effectLst/>
          </c:spPr>
          <c:txPr>
            <a:bodyPr rot="0" spcFirstLastPara="1" vertOverflow="ellipsis" vert="horz" wrap="square" anchor="ctr" anchorCtr="1"/>
            <a:lstStyle/>
            <a:p>
              <a:pPr>
                <a:defRPr sz="4000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alanced" dir="t">
              <a:rot lat="0" lon="0" rev="8700000"/>
            </a:lightRig>
          </a:scene3d>
          <a:sp3d>
            <a:bevelT w="190500" h="38100"/>
          </a:sp3d>
        </c:spPr>
        <c:dLbl>
          <c:idx val="0"/>
          <c:layout>
            <c:manualLayout>
              <c:x val="-3.0999824969583381E-2"/>
              <c:y val="3.0555651887918873E-2"/>
            </c:manualLayout>
          </c:layout>
          <c:tx>
            <c:rich>
              <a:bodyPr rot="0" spcFirstLastPara="1" vertOverflow="ellipsis" vert="horz" wrap="square" anchor="ctr" anchorCtr="1"/>
              <a:lstStyle/>
              <a:p>
                <a:pPr>
                  <a:defRPr sz="400000" b="1" i="0" u="none" strike="noStrike" kern="1200" baseline="0">
                    <a:solidFill>
                      <a:schemeClr val="lt1"/>
                    </a:solidFill>
                    <a:latin typeface="+mn-lt"/>
                    <a:ea typeface="+mn-ea"/>
                    <a:cs typeface="+mn-cs"/>
                  </a:defRPr>
                </a:pPr>
                <a:fld id="{D6297094-0ABB-445D-B558-69AEDB818197}" type="VALUE">
                  <a:rPr lang="en-US" sz="8800"/>
                  <a:pPr>
                    <a:defRPr sz="400000" b="1"/>
                  </a:pPr>
                  <a:t>[VALUE]</a:t>
                </a:fld>
                <a:endParaRPr lang="en-IN"/>
              </a:p>
            </c:rich>
          </c:tx>
          <c:spPr>
            <a:noFill/>
            <a:ln>
              <a:noFill/>
            </a:ln>
            <a:effectLst/>
          </c:spPr>
          <c:txPr>
            <a:bodyPr rot="0" spcFirstLastPara="1" vertOverflow="ellipsis" vert="horz" wrap="square" anchor="ctr" anchorCtr="1"/>
            <a:lstStyle/>
            <a:p>
              <a:pPr>
                <a:defRPr sz="400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12438589834815"/>
                  <c:h val="9.4686839623391514E-2"/>
                </c:manualLayout>
              </c15:layout>
              <c15:dlblFieldTable/>
              <c15:showDataLabelsRange val="0"/>
            </c:ext>
          </c:extLst>
        </c:dLbl>
      </c:pivotFmt>
      <c:pivotFmt>
        <c:idx val="16"/>
        <c:spPr>
          <a:solidFill>
            <a:schemeClr val="accent1"/>
          </a:solidFill>
          <a:ln>
            <a:noFill/>
          </a:ln>
          <a:effectLst/>
          <a:scene3d>
            <a:camera prst="orthographicFront"/>
            <a:lightRig rig="balanced" dir="t">
              <a:rot lat="0" lon="0" rev="8700000"/>
            </a:lightRig>
          </a:scene3d>
          <a:sp3d>
            <a:bevelT w="190500" h="38100"/>
          </a:sp3d>
        </c:spPr>
        <c:dLbl>
          <c:idx val="0"/>
          <c:layout>
            <c:manualLayout>
              <c:x val="8.7192572964042321E-3"/>
              <c:y val="3.0833417737176572E-2"/>
            </c:manualLayout>
          </c:layout>
          <c:tx>
            <c:rich>
              <a:bodyPr rot="0" spcFirstLastPara="1" vertOverflow="ellipsis" vert="horz" wrap="square" anchor="ctr" anchorCtr="1"/>
              <a:lstStyle/>
              <a:p>
                <a:pPr>
                  <a:defRPr sz="400000" b="1" i="0" u="none" strike="noStrike" kern="1200" baseline="0">
                    <a:solidFill>
                      <a:schemeClr val="lt1"/>
                    </a:solidFill>
                    <a:latin typeface="+mn-lt"/>
                    <a:ea typeface="+mn-ea"/>
                    <a:cs typeface="+mn-cs"/>
                  </a:defRPr>
                </a:pPr>
                <a:fld id="{CE10FC3B-B49D-4A1C-A399-8B0E1517F8A0}" type="VALUE">
                  <a:rPr lang="en-US" sz="9600"/>
                  <a:pPr>
                    <a:defRPr sz="400000" b="1"/>
                  </a:pPr>
                  <a:t>[VALUE]</a:t>
                </a:fld>
                <a:endParaRPr lang="en-IN"/>
              </a:p>
            </c:rich>
          </c:tx>
          <c:spPr>
            <a:noFill/>
            <a:ln>
              <a:noFill/>
            </a:ln>
            <a:effectLst/>
          </c:spPr>
          <c:txPr>
            <a:bodyPr rot="0" spcFirstLastPara="1" vertOverflow="ellipsis" vert="horz" wrap="square" anchor="ctr" anchorCtr="1"/>
            <a:lstStyle/>
            <a:p>
              <a:pPr>
                <a:defRPr sz="400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260096119213256"/>
                  <c:h val="0.11654941731300812"/>
                </c:manualLayout>
              </c15:layout>
              <c15:dlblFieldTable/>
              <c15:showDataLabelsRange val="0"/>
            </c:ext>
          </c:extLst>
        </c:dLbl>
      </c:pivotFmt>
      <c:pivotFmt>
        <c:idx val="17"/>
        <c:spPr>
          <a:solidFill>
            <a:schemeClr val="accent1"/>
          </a:solidFill>
          <a:ln>
            <a:noFill/>
          </a:ln>
          <a:effectLst/>
          <a:scene3d>
            <a:camera prst="orthographicFront"/>
            <a:lightRig rig="balanced" dir="t">
              <a:rot lat="0" lon="0" rev="8700000"/>
            </a:lightRig>
          </a:scene3d>
          <a:sp3d>
            <a:bevelT w="190500" h="38100"/>
          </a:sp3d>
        </c:spPr>
        <c:dLbl>
          <c:idx val="0"/>
          <c:layout>
            <c:manualLayout>
              <c:x val="-3.908636675114251E-3"/>
              <c:y val="4.1020643406428088E-2"/>
            </c:manualLayout>
          </c:layout>
          <c:tx>
            <c:rich>
              <a:bodyPr rot="0" spcFirstLastPara="1" vertOverflow="ellipsis" vert="horz" wrap="square" anchor="ctr" anchorCtr="1"/>
              <a:lstStyle/>
              <a:p>
                <a:pPr>
                  <a:defRPr sz="8800" b="1" i="0" u="none" strike="noStrike" kern="1200" baseline="0">
                    <a:solidFill>
                      <a:schemeClr val="lt1"/>
                    </a:solidFill>
                    <a:latin typeface="+mn-lt"/>
                    <a:ea typeface="+mn-ea"/>
                    <a:cs typeface="+mn-cs"/>
                  </a:defRPr>
                </a:pPr>
                <a:fld id="{D144380C-941D-4C05-B5CD-6024B8AE7441}" type="VALUE">
                  <a:rPr lang="en-US" sz="8800"/>
                  <a:pPr>
                    <a:defRPr b="1"/>
                  </a:pPr>
                  <a:t>[VALUE]</a:t>
                </a:fld>
                <a:endParaRPr lang="en-IN"/>
              </a:p>
            </c:rich>
          </c:tx>
          <c:spPr>
            <a:noFill/>
            <a:ln>
              <a:noFill/>
            </a:ln>
            <a:effectLst/>
          </c:spPr>
          <c:txPr>
            <a:bodyPr rot="0" spcFirstLastPara="1" vertOverflow="ellipsis" vert="horz" wrap="square" anchor="ctr" anchorCtr="1"/>
            <a:lstStyle/>
            <a:p>
              <a:pPr>
                <a:defRPr sz="8800" b="1" i="0" u="none" strike="noStrike" kern="1200" baseline="0">
                  <a:solidFill>
                    <a:schemeClr val="lt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1373181736868646"/>
                  <c:h val="0.12728195545154719"/>
                </c:manualLayout>
              </c15:layout>
              <c15:dlblFieldTable/>
              <c15:showDataLabelsRange val="0"/>
            </c:ext>
          </c:extLst>
        </c:dLbl>
      </c:pivotFmt>
      <c:pivotFmt>
        <c:idx val="18"/>
        <c:spPr>
          <a:solidFill>
            <a:schemeClr val="accent1"/>
          </a:solidFill>
          <a:ln>
            <a:noFill/>
          </a:ln>
          <a:effectLst/>
          <a:scene3d>
            <a:camera prst="orthographicFront"/>
            <a:lightRig rig="balanced" dir="t">
              <a:rot lat="0" lon="0" rev="8700000"/>
            </a:lightRig>
          </a:scene3d>
          <a:sp3d>
            <a:bevelT w="190500" h="38100"/>
          </a:sp3d>
        </c:spPr>
        <c:dLbl>
          <c:idx val="0"/>
          <c:layout>
            <c:manualLayout>
              <c:x val="-2.9729852706428223E-2"/>
              <c:y val="4.5111058138744393E-2"/>
            </c:manualLayout>
          </c:layout>
          <c:tx>
            <c:rich>
              <a:bodyPr rot="0" spcFirstLastPara="1" vertOverflow="ellipsis" vert="horz" wrap="square" anchor="ctr" anchorCtr="1"/>
              <a:lstStyle/>
              <a:p>
                <a:pPr>
                  <a:defRPr sz="9600" b="1" i="0" u="none" strike="noStrike" kern="1200" baseline="0">
                    <a:solidFill>
                      <a:schemeClr val="lt1"/>
                    </a:solidFill>
                    <a:latin typeface="+mn-lt"/>
                    <a:ea typeface="+mn-ea"/>
                    <a:cs typeface="+mn-cs"/>
                  </a:defRPr>
                </a:pPr>
                <a:fld id="{8BA54727-6FFE-4C20-A257-1198C2DF8807}" type="VALUE">
                  <a:rPr lang="en-US" sz="9600"/>
                  <a:pPr>
                    <a:defRPr sz="9600" b="1"/>
                  </a:pPr>
                  <a:t>[VALUE]</a:t>
                </a:fld>
                <a:endParaRPr lang="en-IN"/>
              </a:p>
            </c:rich>
          </c:tx>
          <c:spPr>
            <a:noFill/>
            <a:ln>
              <a:noFill/>
            </a:ln>
            <a:effectLst/>
          </c:spPr>
          <c:txPr>
            <a:bodyPr rot="0" spcFirstLastPara="1" vertOverflow="ellipsis" vert="horz" wrap="square" anchor="ctr" anchorCtr="1"/>
            <a:lstStyle/>
            <a:p>
              <a:pPr>
                <a:defRPr sz="9600" b="1" i="0" u="none" strike="noStrike" kern="1200" baseline="0">
                  <a:solidFill>
                    <a:schemeClr val="lt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898760531172347"/>
                  <c:h val="0.1547095529167026"/>
                </c:manualLayout>
              </c15:layout>
              <c15:dlblFieldTable/>
              <c15:showDataLabelsRange val="0"/>
            </c:ext>
          </c:extLst>
        </c:dLbl>
      </c:pivotFmt>
      <c:pivotFmt>
        <c:idx val="19"/>
        <c:spPr>
          <a:solidFill>
            <a:schemeClr val="accent1"/>
          </a:solidFill>
          <a:ln>
            <a:noFill/>
          </a:ln>
          <a:effectLst/>
          <a:scene3d>
            <a:camera prst="orthographicFront"/>
            <a:lightRig rig="balanced" dir="t">
              <a:rot lat="0" lon="0" rev="8700000"/>
            </a:lightRig>
          </a:scene3d>
          <a:sp3d>
            <a:bevelT w="190500" h="38100"/>
          </a:sp3d>
        </c:spPr>
        <c:dLbl>
          <c:idx val="0"/>
          <c:layout>
            <c:manualLayout>
              <c:x val="-5.1002800813160897E-3"/>
              <c:y val="2.2682087885246161E-2"/>
            </c:manualLayout>
          </c:layout>
          <c:tx>
            <c:rich>
              <a:bodyPr rot="0" spcFirstLastPara="1" vertOverflow="ellipsis" vert="horz" wrap="square" anchor="ctr" anchorCtr="1"/>
              <a:lstStyle/>
              <a:p>
                <a:pPr>
                  <a:defRPr sz="9600" b="1" i="0" u="none" strike="noStrike" kern="1200" baseline="0">
                    <a:solidFill>
                      <a:schemeClr val="lt1"/>
                    </a:solidFill>
                    <a:latin typeface="+mn-lt"/>
                    <a:ea typeface="+mn-ea"/>
                    <a:cs typeface="+mn-cs"/>
                  </a:defRPr>
                </a:pPr>
                <a:fld id="{2DAD38FD-7FEA-45EF-9D80-B9F4573971BC}" type="VALUE">
                  <a:rPr lang="en-US" sz="9600"/>
                  <a:pPr>
                    <a:defRPr sz="9600" b="1"/>
                  </a:pPr>
                  <a:t>[VALUE]</a:t>
                </a:fld>
                <a:endParaRPr lang="en-IN"/>
              </a:p>
            </c:rich>
          </c:tx>
          <c:spPr>
            <a:noFill/>
            <a:ln>
              <a:noFill/>
            </a:ln>
            <a:effectLst/>
          </c:spPr>
          <c:txPr>
            <a:bodyPr rot="0" spcFirstLastPara="1" vertOverflow="ellipsis" vert="horz" wrap="square" anchor="ctr" anchorCtr="1"/>
            <a:lstStyle/>
            <a:p>
              <a:pPr>
                <a:defRPr sz="9600" b="1" i="0" u="none" strike="noStrike" kern="1200" baseline="0">
                  <a:solidFill>
                    <a:schemeClr val="lt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9233934280990808"/>
                  <c:h val="0.12887196110170115"/>
                </c:manualLayout>
              </c15:layout>
              <c15:dlblFieldTable/>
              <c15:showDataLabelsRange val="0"/>
            </c:ext>
          </c:extLst>
        </c:dLbl>
      </c:pivotFmt>
    </c:pivotFmts>
    <c:plotArea>
      <c:layout>
        <c:manualLayout>
          <c:layoutTarget val="inner"/>
          <c:xMode val="edge"/>
          <c:yMode val="edge"/>
          <c:x val="7.5548946584379661E-2"/>
          <c:y val="0.26314870263917173"/>
          <c:w val="0.92874885836659682"/>
          <c:h val="0.53197989631911191"/>
        </c:manualLayout>
      </c:layout>
      <c:barChart>
        <c:barDir val="col"/>
        <c:grouping val="clustered"/>
        <c:varyColors val="0"/>
        <c:ser>
          <c:idx val="0"/>
          <c:order val="0"/>
          <c:tx>
            <c:strRef>
              <c:f>PIVOT!$I$23</c:f>
              <c:strCache>
                <c:ptCount val="1"/>
                <c:pt idx="0">
                  <c:v>Total</c:v>
                </c:pt>
              </c:strCache>
            </c:strRef>
          </c:tx>
          <c:spPr>
            <a:solidFill>
              <a:schemeClr val="accent1"/>
            </a:solidFill>
            <a:ln>
              <a:noFill/>
            </a:ln>
            <a:effectLst/>
            <a:scene3d>
              <a:camera prst="orthographicFront"/>
              <a:lightRig rig="balanced" dir="t">
                <a:rot lat="0" lon="0" rev="8700000"/>
              </a:lightRig>
            </a:scene3d>
            <a:sp3d>
              <a:bevelT w="190500" h="38100"/>
            </a:sp3d>
          </c:spPr>
          <c:invertIfNegative val="0"/>
          <c:dPt>
            <c:idx val="0"/>
            <c:invertIfNegative val="0"/>
            <c:bubble3D val="0"/>
            <c:spPr>
              <a:solidFill>
                <a:schemeClr val="accent1"/>
              </a:solidFill>
              <a:ln>
                <a:noFill/>
              </a:ln>
              <a:effectLst/>
              <a:scene3d>
                <a:camera prst="orthographicFront"/>
                <a:lightRig rig="balanced" dir="t">
                  <a:rot lat="0" lon="0" rev="8700000"/>
                </a:lightRig>
              </a:scene3d>
              <a:sp3d>
                <a:bevelT w="190500" h="38100"/>
              </a:sp3d>
            </c:spPr>
            <c:extLst>
              <c:ext xmlns:c16="http://schemas.microsoft.com/office/drawing/2014/chart" uri="{C3380CC4-5D6E-409C-BE32-E72D297353CC}">
                <c16:uniqueId val="{00000000-5C0A-4FCA-92CF-EDD5AD7F84ED}"/>
              </c:ext>
            </c:extLst>
          </c:dPt>
          <c:dPt>
            <c:idx val="1"/>
            <c:invertIfNegative val="0"/>
            <c:bubble3D val="0"/>
            <c:extLst>
              <c:ext xmlns:c16="http://schemas.microsoft.com/office/drawing/2014/chart" uri="{C3380CC4-5D6E-409C-BE32-E72D297353CC}">
                <c16:uniqueId val="{00000001-5C0A-4FCA-92CF-EDD5AD7F84ED}"/>
              </c:ext>
            </c:extLst>
          </c:dPt>
          <c:dPt>
            <c:idx val="2"/>
            <c:invertIfNegative val="0"/>
            <c:bubble3D val="0"/>
            <c:extLst>
              <c:ext xmlns:c16="http://schemas.microsoft.com/office/drawing/2014/chart" uri="{C3380CC4-5D6E-409C-BE32-E72D297353CC}">
                <c16:uniqueId val="{00000002-5C0A-4FCA-92CF-EDD5AD7F84ED}"/>
              </c:ext>
            </c:extLst>
          </c:dPt>
          <c:dPt>
            <c:idx val="3"/>
            <c:invertIfNegative val="0"/>
            <c:bubble3D val="0"/>
            <c:extLst>
              <c:ext xmlns:c16="http://schemas.microsoft.com/office/drawing/2014/chart" uri="{C3380CC4-5D6E-409C-BE32-E72D297353CC}">
                <c16:uniqueId val="{00000003-5C0A-4FCA-92CF-EDD5AD7F84ED}"/>
              </c:ext>
            </c:extLst>
          </c:dPt>
          <c:dPt>
            <c:idx val="4"/>
            <c:invertIfNegative val="0"/>
            <c:bubble3D val="0"/>
            <c:extLst>
              <c:ext xmlns:c16="http://schemas.microsoft.com/office/drawing/2014/chart" uri="{C3380CC4-5D6E-409C-BE32-E72D297353CC}">
                <c16:uniqueId val="{00000004-5C0A-4FCA-92CF-EDD5AD7F84ED}"/>
              </c:ext>
            </c:extLst>
          </c:dPt>
          <c:dLbls>
            <c:dLbl>
              <c:idx val="0"/>
              <c:layout>
                <c:manualLayout>
                  <c:x val="-3.0999824969583381E-2"/>
                  <c:y val="3.0555651887918873E-2"/>
                </c:manualLayout>
              </c:layout>
              <c:tx>
                <c:rich>
                  <a:bodyPr/>
                  <a:lstStyle/>
                  <a:p>
                    <a:fld id="{D6297094-0ABB-445D-B558-69AEDB818197}" type="VALUE">
                      <a:rPr lang="en-US" sz="88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21712438589834815"/>
                      <c:h val="9.4686839623391514E-2"/>
                    </c:manualLayout>
                  </c15:layout>
                  <c15:dlblFieldTable/>
                  <c15:showDataLabelsRange val="0"/>
                </c:ext>
                <c:ext xmlns:c16="http://schemas.microsoft.com/office/drawing/2014/chart" uri="{C3380CC4-5D6E-409C-BE32-E72D297353CC}">
                  <c16:uniqueId val="{00000000-5C0A-4FCA-92CF-EDD5AD7F84ED}"/>
                </c:ext>
              </c:extLst>
            </c:dLbl>
            <c:spPr>
              <a:noFill/>
              <a:ln>
                <a:noFill/>
              </a:ln>
              <a:effectLst/>
            </c:spPr>
            <c:txPr>
              <a:bodyPr rot="0" spcFirstLastPara="1" vertOverflow="ellipsis" vert="horz" wrap="square" anchor="ctr" anchorCtr="1"/>
              <a:lstStyle/>
              <a:p>
                <a:pPr>
                  <a:defRPr sz="4000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PIVOT!$H$24:$H$25</c:f>
              <c:strCache>
                <c:ptCount val="1"/>
                <c:pt idx="0">
                  <c:v>Chemotherapy</c:v>
                </c:pt>
              </c:strCache>
            </c:strRef>
          </c:cat>
          <c:val>
            <c:numRef>
              <c:f>PIVOT!$I$24:$I$25</c:f>
              <c:numCache>
                <c:formatCode>"₹"\ #,##0.00</c:formatCode>
                <c:ptCount val="1"/>
                <c:pt idx="0">
                  <c:v>2662.686666666667</c:v>
                </c:pt>
              </c:numCache>
            </c:numRef>
          </c:val>
          <c:extLst>
            <c:ext xmlns:c16="http://schemas.microsoft.com/office/drawing/2014/chart" uri="{C3380CC4-5D6E-409C-BE32-E72D297353CC}">
              <c16:uniqueId val="{00000005-5C0A-4FCA-92CF-EDD5AD7F84ED}"/>
            </c:ext>
          </c:extLst>
        </c:ser>
        <c:dLbls>
          <c:dLblPos val="inBase"/>
          <c:showLegendKey val="0"/>
          <c:showVal val="1"/>
          <c:showCatName val="0"/>
          <c:showSerName val="0"/>
          <c:showPercent val="0"/>
          <c:showBubbleSize val="0"/>
        </c:dLbls>
        <c:gapWidth val="219"/>
        <c:overlap val="-27"/>
        <c:axId val="224108368"/>
        <c:axId val="113101072"/>
      </c:barChart>
      <c:catAx>
        <c:axId val="2241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800" b="1" i="0" u="none" strike="noStrike" kern="1200" baseline="0">
                <a:solidFill>
                  <a:schemeClr val="lt1"/>
                </a:solidFill>
                <a:latin typeface="+mn-lt"/>
                <a:ea typeface="+mn-ea"/>
                <a:cs typeface="+mn-cs"/>
              </a:defRPr>
            </a:pPr>
            <a:endParaRPr lang="en-US"/>
          </a:p>
        </c:txPr>
        <c:crossAx val="113101072"/>
        <c:crosses val="autoZero"/>
        <c:auto val="1"/>
        <c:lblAlgn val="ctr"/>
        <c:lblOffset val="100"/>
        <c:noMultiLvlLbl val="0"/>
      </c:catAx>
      <c:valAx>
        <c:axId val="113101072"/>
        <c:scaling>
          <c:orientation val="minMax"/>
        </c:scaling>
        <c:delete val="1"/>
        <c:axPos val="l"/>
        <c:numFmt formatCode="&quot;₹&quot;\ #,##0.00" sourceLinked="1"/>
        <c:majorTickMark val="none"/>
        <c:minorTickMark val="none"/>
        <c:tickLblPos val="nextTo"/>
        <c:crossAx val="22410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8100000" scaled="1"/>
      <a:tileRect/>
    </a:gradFill>
    <a:ln w="9525" cap="flat" cmpd="sng" algn="ctr">
      <a:noFill/>
      <a:round/>
    </a:ln>
    <a:effectLst>
      <a:outerShdw blurRad="57150" dist="19050" dir="5400000" algn="ctr" rotWithShape="0">
        <a:srgbClr val="000000">
          <a:alpha val="63000"/>
        </a:srgbClr>
      </a:outerShdw>
      <a:softEdge rad="31750"/>
    </a:effectLst>
  </c:spPr>
  <c:txPr>
    <a:bodyPr/>
    <a:lstStyle/>
    <a:p>
      <a:pPr>
        <a:defRPr sz="8800">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Hospital.xlsx]PIVOT!PivotTable12</c:name>
    <c:fmtId val="14"/>
  </c:pivotSource>
  <c:chart>
    <c:title>
      <c:tx>
        <c:rich>
          <a:bodyPr rot="0" spcFirstLastPara="1" vertOverflow="ellipsis" vert="horz" wrap="square" anchor="ctr" anchorCtr="1"/>
          <a:lstStyle/>
          <a:p>
            <a:pPr>
              <a:defRPr sz="13800" b="1" i="0" u="none" strike="noStrike" kern="1200" spc="0" baseline="0">
                <a:solidFill>
                  <a:schemeClr val="lt1"/>
                </a:solidFill>
                <a:latin typeface="+mn-lt"/>
                <a:ea typeface="+mn-ea"/>
                <a:cs typeface="+mn-cs"/>
              </a:defRPr>
            </a:pPr>
            <a:r>
              <a:rPr lang="en-US" sz="13800" b="1"/>
              <a:t>Billing by Treatment Type</a:t>
            </a:r>
          </a:p>
        </c:rich>
      </c:tx>
      <c:overlay val="0"/>
      <c:spPr>
        <a:noFill/>
        <a:ln>
          <a:noFill/>
        </a:ln>
        <a:effectLst/>
      </c:spPr>
      <c:txPr>
        <a:bodyPr rot="0" spcFirstLastPara="1" vertOverflow="ellipsis" vert="horz" wrap="square" anchor="ctr" anchorCtr="1"/>
        <a:lstStyle/>
        <a:p>
          <a:pPr>
            <a:defRPr sz="13800" b="1"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w="139700" h="139700"/>
          </a:sp3d>
        </c:spPr>
        <c:dLbl>
          <c:idx val="0"/>
          <c:layout>
            <c:manualLayout>
              <c:x val="-1.6874668527893053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w="139700" h="139700"/>
          </a:sp3d>
        </c:spPr>
      </c:pivotFmt>
      <c:pivotFmt>
        <c:idx val="5"/>
        <c:spPr>
          <a:solidFill>
            <a:schemeClr val="accent1"/>
          </a:soli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w="139700" h="139700"/>
          </a:sp3d>
        </c:spPr>
        <c:dLbl>
          <c:idx val="0"/>
          <c:layout>
            <c:manualLayout>
              <c:x val="-1.6874668527893053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w="139700" h="139700"/>
          </a:sp3d>
        </c:spPr>
      </c:pivotFmt>
      <c:pivotFmt>
        <c:idx val="8"/>
        <c:spPr>
          <a:solidFill>
            <a:schemeClr val="accent1"/>
          </a:solidFill>
          <a:ln>
            <a:noFill/>
          </a:ln>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w="139700" h="139700"/>
          </a:sp3d>
        </c:spPr>
      </c:pivotFmt>
      <c:pivotFmt>
        <c:idx val="10"/>
        <c:spPr>
          <a:solidFill>
            <a:schemeClr val="accent1"/>
          </a:solidFill>
          <a:ln>
            <a:noFill/>
          </a:ln>
          <a:effectLst/>
          <a:scene3d>
            <a:camera prst="orthographicFront"/>
            <a:lightRig rig="threePt" dir="t"/>
          </a:scene3d>
          <a:sp3d>
            <a:bevelT w="139700" h="139700"/>
          </a:sp3d>
        </c:spPr>
      </c:pivotFmt>
    </c:pivotFmts>
    <c:plotArea>
      <c:layout>
        <c:manualLayout>
          <c:layoutTarget val="inner"/>
          <c:xMode val="edge"/>
          <c:yMode val="edge"/>
          <c:x val="0.19543087447005558"/>
          <c:y val="0.13168967133979903"/>
          <c:w val="0.79724886424272834"/>
          <c:h val="0.86352049461690539"/>
        </c:manualLayout>
      </c:layout>
      <c:barChart>
        <c:barDir val="bar"/>
        <c:grouping val="clustered"/>
        <c:varyColors val="0"/>
        <c:ser>
          <c:idx val="0"/>
          <c:order val="0"/>
          <c:tx>
            <c:strRef>
              <c:f>PIVOT!$C$23</c:f>
              <c:strCache>
                <c:ptCount val="1"/>
                <c:pt idx="0">
                  <c:v>Total</c:v>
                </c:pt>
              </c:strCache>
            </c:strRef>
          </c:tx>
          <c:spPr>
            <a:solidFill>
              <a:schemeClr val="accent1"/>
            </a:solidFill>
            <a:ln>
              <a:noFill/>
            </a:ln>
            <a:effectLst/>
            <a:scene3d>
              <a:camera prst="orthographicFront"/>
              <a:lightRig rig="threePt" dir="t"/>
            </a:scene3d>
            <a:sp3d>
              <a:bevelT w="139700" h="139700"/>
            </a:sp3d>
          </c:spPr>
          <c:invertIfNegative val="0"/>
          <c:dPt>
            <c:idx val="0"/>
            <c:invertIfNegative val="0"/>
            <c:bubble3D val="0"/>
            <c:spPr>
              <a:solidFill>
                <a:schemeClr val="accent1"/>
              </a:solidFill>
              <a:ln>
                <a:noFill/>
              </a:ln>
              <a:effectLst/>
              <a:scene3d>
                <a:camera prst="orthographicFront"/>
                <a:lightRig rig="threePt" dir="t"/>
              </a:scene3d>
              <a:sp3d>
                <a:bevelT w="139700" h="139700"/>
              </a:sp3d>
            </c:spPr>
            <c:extLst>
              <c:ext xmlns:c16="http://schemas.microsoft.com/office/drawing/2014/chart" uri="{C3380CC4-5D6E-409C-BE32-E72D297353CC}">
                <c16:uniqueId val="{00000001-8759-4299-87D1-F4D847C4E5F0}"/>
              </c:ext>
            </c:extLst>
          </c:dPt>
          <c:dPt>
            <c:idx val="4"/>
            <c:invertIfNegative val="0"/>
            <c:bubble3D val="0"/>
            <c:extLst>
              <c:ext xmlns:c16="http://schemas.microsoft.com/office/drawing/2014/chart" uri="{C3380CC4-5D6E-409C-BE32-E72D297353CC}">
                <c16:uniqueId val="{00000003-8759-4299-87D1-F4D847C4E5F0}"/>
              </c:ext>
            </c:extLst>
          </c:dPt>
          <c:dLbls>
            <c:spPr>
              <a:noFill/>
              <a:ln>
                <a:noFill/>
              </a:ln>
              <a:effectLst/>
            </c:spPr>
            <c:txPr>
              <a:bodyPr rot="0" spcFirstLastPara="1" vertOverflow="ellipsis" vert="horz" wrap="square" lIns="38100" tIns="19050" rIns="38100" bIns="19050" anchor="ctr" anchorCtr="1">
                <a:spAutoFit/>
              </a:bodyPr>
              <a:lstStyle/>
              <a:p>
                <a:pPr>
                  <a:defRPr sz="7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PIVOT!$B$24:$B$25</c:f>
              <c:strCache>
                <c:ptCount val="1"/>
                <c:pt idx="0">
                  <c:v>Chemotherapy</c:v>
                </c:pt>
              </c:strCache>
            </c:strRef>
          </c:cat>
          <c:val>
            <c:numRef>
              <c:f>PIVOT!$C$24:$C$25</c:f>
              <c:numCache>
                <c:formatCode>"₹"\ #,##0.00</c:formatCode>
                <c:ptCount val="1"/>
                <c:pt idx="0">
                  <c:v>15628.27</c:v>
                </c:pt>
              </c:numCache>
            </c:numRef>
          </c:val>
          <c:extLst>
            <c:ext xmlns:c16="http://schemas.microsoft.com/office/drawing/2014/chart" uri="{C3380CC4-5D6E-409C-BE32-E72D297353CC}">
              <c16:uniqueId val="{00000004-8759-4299-87D1-F4D847C4E5F0}"/>
            </c:ext>
          </c:extLst>
        </c:ser>
        <c:dLbls>
          <c:dLblPos val="outEnd"/>
          <c:showLegendKey val="0"/>
          <c:showVal val="1"/>
          <c:showCatName val="0"/>
          <c:showSerName val="0"/>
          <c:showPercent val="0"/>
          <c:showBubbleSize val="0"/>
        </c:dLbls>
        <c:gapWidth val="182"/>
        <c:axId val="1316980128"/>
        <c:axId val="1237247280"/>
      </c:barChart>
      <c:catAx>
        <c:axId val="1316980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0" b="0" i="0" u="none" strike="noStrike" kern="1200" baseline="0">
                <a:solidFill>
                  <a:schemeClr val="lt1"/>
                </a:solidFill>
                <a:latin typeface="+mn-lt"/>
                <a:ea typeface="+mn-ea"/>
                <a:cs typeface="+mn-cs"/>
              </a:defRPr>
            </a:pPr>
            <a:endParaRPr lang="en-US"/>
          </a:p>
        </c:txPr>
        <c:crossAx val="1237247280"/>
        <c:crosses val="autoZero"/>
        <c:auto val="1"/>
        <c:lblAlgn val="ctr"/>
        <c:lblOffset val="100"/>
        <c:noMultiLvlLbl val="0"/>
      </c:catAx>
      <c:valAx>
        <c:axId val="1237247280"/>
        <c:scaling>
          <c:orientation val="minMax"/>
        </c:scaling>
        <c:delete val="1"/>
        <c:axPos val="b"/>
        <c:numFmt formatCode="&quot;₹&quot;\ #,##0.00" sourceLinked="1"/>
        <c:majorTickMark val="none"/>
        <c:minorTickMark val="none"/>
        <c:tickLblPos val="nextTo"/>
        <c:crossAx val="131698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oftEdge rad="3175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8.svg"/><Relationship Id="rId7" Type="http://schemas.openxmlformats.org/officeDocument/2006/relationships/chart" Target="../charts/chart5.xml"/><Relationship Id="rId2"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16.svg"/><Relationship Id="rId13" Type="http://schemas.openxmlformats.org/officeDocument/2006/relationships/chart" Target="../charts/chart10.xml"/><Relationship Id="rId18" Type="http://schemas.openxmlformats.org/officeDocument/2006/relationships/chart" Target="../charts/chart12.xml"/><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chart" Target="../charts/chart9.xml"/><Relationship Id="rId17" Type="http://schemas.openxmlformats.org/officeDocument/2006/relationships/chart" Target="../charts/chart11.xml"/><Relationship Id="rId2" Type="http://schemas.openxmlformats.org/officeDocument/2006/relationships/image" Target="../media/image10.svg"/><Relationship Id="rId16" Type="http://schemas.openxmlformats.org/officeDocument/2006/relationships/image" Target="../media/image21.emf"/><Relationship Id="rId1" Type="http://schemas.openxmlformats.org/officeDocument/2006/relationships/image" Target="../media/image9.png"/><Relationship Id="rId6" Type="http://schemas.openxmlformats.org/officeDocument/2006/relationships/image" Target="../media/image14.svg"/><Relationship Id="rId11" Type="http://schemas.openxmlformats.org/officeDocument/2006/relationships/chart" Target="../charts/chart8.xml"/><Relationship Id="rId5" Type="http://schemas.openxmlformats.org/officeDocument/2006/relationships/image" Target="../media/image13.png"/><Relationship Id="rId15" Type="http://schemas.openxmlformats.org/officeDocument/2006/relationships/image" Target="../media/image20.svg"/><Relationship Id="rId10" Type="http://schemas.openxmlformats.org/officeDocument/2006/relationships/image" Target="../media/image18.svg"/><Relationship Id="rId4" Type="http://schemas.openxmlformats.org/officeDocument/2006/relationships/image" Target="../media/image12.svg"/><Relationship Id="rId9" Type="http://schemas.openxmlformats.org/officeDocument/2006/relationships/image" Target="../media/image17.png"/><Relationship Id="rId1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 Id="rId4" Type="http://schemas.openxmlformats.org/officeDocument/2006/relationships/image" Target="../media/image2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xdr:from>
      <xdr:col>3</xdr:col>
      <xdr:colOff>2570513</xdr:colOff>
      <xdr:row>1</xdr:row>
      <xdr:rowOff>46760</xdr:rowOff>
    </xdr:from>
    <xdr:to>
      <xdr:col>4</xdr:col>
      <xdr:colOff>355270</xdr:colOff>
      <xdr:row>5</xdr:row>
      <xdr:rowOff>57645</xdr:rowOff>
    </xdr:to>
    <xdr:sp macro="" textlink="">
      <xdr:nvSpPr>
        <xdr:cNvPr id="2" name="Rectangle: Rounded Corners 1">
          <a:extLst>
            <a:ext uri="{FF2B5EF4-FFF2-40B4-BE49-F238E27FC236}">
              <a16:creationId xmlns:a16="http://schemas.microsoft.com/office/drawing/2014/main" id="{F689C7EF-D3FA-99BA-0F05-3D10C2A722A3}"/>
            </a:ext>
          </a:extLst>
        </xdr:cNvPr>
        <xdr:cNvSpPr/>
      </xdr:nvSpPr>
      <xdr:spPr>
        <a:xfrm>
          <a:off x="5990854" y="232312"/>
          <a:ext cx="3110098" cy="753093"/>
        </a:xfrm>
        <a:prstGeom prst="roundRect">
          <a:avLst/>
        </a:prstGeom>
        <a:ln>
          <a:noFill/>
        </a:ln>
        <a:effectLst>
          <a:innerShdw blurRad="114300">
            <a:prstClr val="black"/>
          </a:inn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l"/>
          <a:r>
            <a:rPr lang="en-IN" sz="2800">
              <a:solidFill>
                <a:schemeClr val="accent1">
                  <a:lumMod val="50000"/>
                </a:schemeClr>
              </a:solidFill>
              <a:latin typeface="Algerian" panose="04020705040A02060702" pitchFamily="82" charset="0"/>
            </a:rPr>
            <a:t>CHANGELOG</a:t>
          </a:r>
          <a:endParaRPr lang="en-IN" sz="1100">
            <a:solidFill>
              <a:schemeClr val="accent1">
                <a:lumMod val="50000"/>
              </a:schemeClr>
            </a:solidFill>
            <a:latin typeface="Algerian" panose="04020705040A02060702" pitchFamily="82" charset="0"/>
          </a:endParaRPr>
        </a:p>
      </xdr:txBody>
    </xdr:sp>
    <xdr:clientData/>
  </xdr:twoCellAnchor>
  <xdr:twoCellAnchor editAs="oneCell">
    <xdr:from>
      <xdr:col>3</xdr:col>
      <xdr:colOff>4849584</xdr:colOff>
      <xdr:row>2</xdr:row>
      <xdr:rowOff>27214</xdr:rowOff>
    </xdr:from>
    <xdr:to>
      <xdr:col>3</xdr:col>
      <xdr:colOff>5306785</xdr:colOff>
      <xdr:row>4</xdr:row>
      <xdr:rowOff>114300</xdr:rowOff>
    </xdr:to>
    <xdr:pic>
      <xdr:nvPicPr>
        <xdr:cNvPr id="4" name="Graphic 3" descr="Clipboard with solid fill">
          <a:extLst>
            <a:ext uri="{FF2B5EF4-FFF2-40B4-BE49-F238E27FC236}">
              <a16:creationId xmlns:a16="http://schemas.microsoft.com/office/drawing/2014/main" id="{2086C7F9-1636-155A-8341-7D21E19448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03027" y="397328"/>
          <a:ext cx="457201" cy="457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3973286</xdr:colOff>
      <xdr:row>0</xdr:row>
      <xdr:rowOff>136072</xdr:rowOff>
    </xdr:from>
    <xdr:to>
      <xdr:col>4</xdr:col>
      <xdr:colOff>244930</xdr:colOff>
      <xdr:row>4</xdr:row>
      <xdr:rowOff>146957</xdr:rowOff>
    </xdr:to>
    <xdr:sp macro="" textlink="">
      <xdr:nvSpPr>
        <xdr:cNvPr id="2" name="Rectangle: Rounded Corners 1">
          <a:extLst>
            <a:ext uri="{FF2B5EF4-FFF2-40B4-BE49-F238E27FC236}">
              <a16:creationId xmlns:a16="http://schemas.microsoft.com/office/drawing/2014/main" id="{4B99E600-F70C-48A2-90F1-4F27C927A7D8}"/>
            </a:ext>
          </a:extLst>
        </xdr:cNvPr>
        <xdr:cNvSpPr/>
      </xdr:nvSpPr>
      <xdr:spPr>
        <a:xfrm>
          <a:off x="5279572" y="136072"/>
          <a:ext cx="2422072" cy="751114"/>
        </a:xfrm>
        <a:prstGeom prst="roundRect">
          <a:avLst/>
        </a:prstGeom>
        <a:ln>
          <a:noFill/>
        </a:ln>
        <a:effectLst>
          <a:innerShdw blurRad="114300">
            <a:prstClr val="black"/>
          </a:inn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l"/>
          <a:r>
            <a:rPr lang="en-IN" sz="2800">
              <a:solidFill>
                <a:schemeClr val="accent1">
                  <a:lumMod val="50000"/>
                </a:schemeClr>
              </a:solidFill>
              <a:latin typeface="Algerian" panose="04020705040A02060702" pitchFamily="82" charset="0"/>
            </a:rPr>
            <a:t>analysis </a:t>
          </a:r>
          <a:endParaRPr lang="en-IN" sz="1100">
            <a:solidFill>
              <a:schemeClr val="accent1">
                <a:lumMod val="50000"/>
              </a:schemeClr>
            </a:solidFill>
            <a:latin typeface="Algerian" panose="04020705040A02060702" pitchFamily="82" charset="0"/>
          </a:endParaRPr>
        </a:p>
      </xdr:txBody>
    </xdr:sp>
    <xdr:clientData/>
  </xdr:twoCellAnchor>
  <xdr:twoCellAnchor editAs="oneCell">
    <xdr:from>
      <xdr:col>3</xdr:col>
      <xdr:colOff>342900</xdr:colOff>
      <xdr:row>1</xdr:row>
      <xdr:rowOff>168728</xdr:rowOff>
    </xdr:from>
    <xdr:to>
      <xdr:col>4</xdr:col>
      <xdr:colOff>43542</xdr:colOff>
      <xdr:row>3</xdr:row>
      <xdr:rowOff>152399</xdr:rowOff>
    </xdr:to>
    <xdr:pic>
      <xdr:nvPicPr>
        <xdr:cNvPr id="4" name="Graphic 3" descr="Magnifying glass with solid fill">
          <a:extLst>
            <a:ext uri="{FF2B5EF4-FFF2-40B4-BE49-F238E27FC236}">
              <a16:creationId xmlns:a16="http://schemas.microsoft.com/office/drawing/2014/main" id="{B954430C-9BA9-53DD-E4A5-02F933C57F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46471" y="353785"/>
          <a:ext cx="353785" cy="3537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2754086</xdr:colOff>
      <xdr:row>1</xdr:row>
      <xdr:rowOff>114301</xdr:rowOff>
    </xdr:from>
    <xdr:to>
      <xdr:col>4</xdr:col>
      <xdr:colOff>1349829</xdr:colOff>
      <xdr:row>4</xdr:row>
      <xdr:rowOff>114301</xdr:rowOff>
    </xdr:to>
    <xdr:grpSp>
      <xdr:nvGrpSpPr>
        <xdr:cNvPr id="3" name="Group 2">
          <a:extLst>
            <a:ext uri="{FF2B5EF4-FFF2-40B4-BE49-F238E27FC236}">
              <a16:creationId xmlns:a16="http://schemas.microsoft.com/office/drawing/2014/main" id="{F878881D-544A-0975-D45D-44CFF9AD6184}"/>
            </a:ext>
          </a:extLst>
        </xdr:cNvPr>
        <xdr:cNvGrpSpPr/>
      </xdr:nvGrpSpPr>
      <xdr:grpSpPr>
        <a:xfrm>
          <a:off x="4648200" y="299358"/>
          <a:ext cx="3450772" cy="555172"/>
          <a:chOff x="4592108" y="315686"/>
          <a:chExt cx="3194955" cy="555172"/>
        </a:xfrm>
      </xdr:grpSpPr>
      <xdr:sp macro="" textlink="">
        <xdr:nvSpPr>
          <xdr:cNvPr id="2" name="Rectangle: Rounded Corners 1">
            <a:extLst>
              <a:ext uri="{FF2B5EF4-FFF2-40B4-BE49-F238E27FC236}">
                <a16:creationId xmlns:a16="http://schemas.microsoft.com/office/drawing/2014/main" id="{A56008C5-1114-4A73-8254-5D781B1F4B61}"/>
              </a:ext>
            </a:extLst>
          </xdr:cNvPr>
          <xdr:cNvSpPr/>
        </xdr:nvSpPr>
        <xdr:spPr>
          <a:xfrm>
            <a:off x="4592108" y="315686"/>
            <a:ext cx="3194955" cy="555172"/>
          </a:xfrm>
          <a:prstGeom prst="roundRect">
            <a:avLst/>
          </a:prstGeom>
          <a:ln>
            <a:noFill/>
          </a:ln>
          <a:effectLst>
            <a:innerShdw blurRad="114300">
              <a:prstClr val="black"/>
            </a:inn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l"/>
            <a:r>
              <a:rPr lang="en-IN" sz="2800">
                <a:solidFill>
                  <a:schemeClr val="accent1">
                    <a:lumMod val="50000"/>
                  </a:schemeClr>
                </a:solidFill>
                <a:latin typeface="Algerian" panose="04020705040A02060702" pitchFamily="82" charset="0"/>
              </a:rPr>
              <a:t>calculation</a:t>
            </a:r>
            <a:endParaRPr lang="en-IN" sz="1100">
              <a:solidFill>
                <a:schemeClr val="accent1">
                  <a:lumMod val="50000"/>
                </a:schemeClr>
              </a:solidFill>
              <a:latin typeface="Algerian" panose="04020705040A02060702" pitchFamily="82" charset="0"/>
            </a:endParaRPr>
          </a:p>
        </xdr:txBody>
      </xdr:sp>
      <xdr:pic>
        <xdr:nvPicPr>
          <xdr:cNvPr id="4" name="Graphic 3" descr="Mathematics with solid fill">
            <a:extLst>
              <a:ext uri="{FF2B5EF4-FFF2-40B4-BE49-F238E27FC236}">
                <a16:creationId xmlns:a16="http://schemas.microsoft.com/office/drawing/2014/main" id="{8154BCF8-0B2B-969A-106B-F49262DDA4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18796" y="364672"/>
            <a:ext cx="489857" cy="489857"/>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310629</xdr:colOff>
      <xdr:row>0</xdr:row>
      <xdr:rowOff>142614</xdr:rowOff>
    </xdr:from>
    <xdr:to>
      <xdr:col>8</xdr:col>
      <xdr:colOff>234428</xdr:colOff>
      <xdr:row>4</xdr:row>
      <xdr:rowOff>153499</xdr:rowOff>
    </xdr:to>
    <xdr:sp macro="" textlink="">
      <xdr:nvSpPr>
        <xdr:cNvPr id="9" name="Rectangle: Rounded Corners 8">
          <a:extLst>
            <a:ext uri="{FF2B5EF4-FFF2-40B4-BE49-F238E27FC236}">
              <a16:creationId xmlns:a16="http://schemas.microsoft.com/office/drawing/2014/main" id="{DC27B1C2-504A-4EB0-9476-9BB03C979EA7}"/>
            </a:ext>
          </a:extLst>
        </xdr:cNvPr>
        <xdr:cNvSpPr/>
      </xdr:nvSpPr>
      <xdr:spPr>
        <a:xfrm>
          <a:off x="5143226" y="142614"/>
          <a:ext cx="3112544" cy="758591"/>
        </a:xfrm>
        <a:prstGeom prst="roundRect">
          <a:avLst/>
        </a:prstGeom>
        <a:ln>
          <a:noFill/>
        </a:ln>
        <a:effectLst>
          <a:innerShdw blurRad="114300">
            <a:prstClr val="black"/>
          </a:inn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IN" sz="2800">
              <a:solidFill>
                <a:schemeClr val="accent1">
                  <a:lumMod val="50000"/>
                </a:schemeClr>
              </a:solidFill>
              <a:latin typeface="Algerian" panose="04020705040A02060702" pitchFamily="82" charset="0"/>
            </a:rPr>
            <a:t>PIVOT TABLE</a:t>
          </a:r>
          <a:endParaRPr lang="en-IN" sz="1100">
            <a:solidFill>
              <a:schemeClr val="accent1">
                <a:lumMod val="50000"/>
              </a:schemeClr>
            </a:solidFill>
            <a:latin typeface="Algerian" panose="04020705040A02060702" pitchFamily="82" charset="0"/>
          </a:endParaRPr>
        </a:p>
      </xdr:txBody>
    </xdr:sp>
    <xdr:clientData/>
  </xdr:twoCellAnchor>
  <xdr:twoCellAnchor editAs="oneCell">
    <xdr:from>
      <xdr:col>9</xdr:col>
      <xdr:colOff>284622</xdr:colOff>
      <xdr:row>13</xdr:row>
      <xdr:rowOff>170433</xdr:rowOff>
    </xdr:from>
    <xdr:to>
      <xdr:col>10</xdr:col>
      <xdr:colOff>534498</xdr:colOff>
      <xdr:row>21</xdr:row>
      <xdr:rowOff>97806</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F3F015F1-7971-7CB4-89B2-27BE1820B35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747020" y="2613239"/>
              <a:ext cx="1830896" cy="143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268404</xdr:colOff>
      <xdr:row>6</xdr:row>
      <xdr:rowOff>43709</xdr:rowOff>
    </xdr:from>
    <xdr:to>
      <xdr:col>10</xdr:col>
      <xdr:colOff>518280</xdr:colOff>
      <xdr:row>12</xdr:row>
      <xdr:rowOff>130795</xdr:rowOff>
    </xdr:to>
    <mc:AlternateContent xmlns:mc="http://schemas.openxmlformats.org/markup-compatibility/2006" xmlns:a14="http://schemas.microsoft.com/office/drawing/2010/main">
      <mc:Choice Requires="a14">
        <xdr:graphicFrame macro="">
          <xdr:nvGraphicFramePr>
            <xdr:cNvPr id="12" name="Hospital_branch">
              <a:extLst>
                <a:ext uri="{FF2B5EF4-FFF2-40B4-BE49-F238E27FC236}">
                  <a16:creationId xmlns:a16="http://schemas.microsoft.com/office/drawing/2014/main" id="{79902F18-A361-6100-D5F2-9014D4185A4C}"/>
                </a:ext>
              </a:extLst>
            </xdr:cNvPr>
            <xdr:cNvGraphicFramePr/>
          </xdr:nvGraphicFramePr>
          <xdr:xfrm>
            <a:off x="0" y="0"/>
            <a:ext cx="0" cy="0"/>
          </xdr:xfrm>
          <a:graphic>
            <a:graphicData uri="http://schemas.microsoft.com/office/drawing/2010/slicer">
              <sle:slicer xmlns:sle="http://schemas.microsoft.com/office/drawing/2010/slicer" name="Hospital_branch"/>
            </a:graphicData>
          </a:graphic>
        </xdr:graphicFrame>
      </mc:Choice>
      <mc:Fallback xmlns="">
        <xdr:sp macro="" textlink="">
          <xdr:nvSpPr>
            <xdr:cNvPr id="0" name=""/>
            <xdr:cNvSpPr>
              <a:spLocks noTextEdit="1"/>
            </xdr:cNvSpPr>
          </xdr:nvSpPr>
          <xdr:spPr>
            <a:xfrm>
              <a:off x="11730802" y="1171158"/>
              <a:ext cx="1830896" cy="1214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14224</xdr:colOff>
      <xdr:row>6</xdr:row>
      <xdr:rowOff>67772</xdr:rowOff>
    </xdr:from>
    <xdr:to>
      <xdr:col>13</xdr:col>
      <xdr:colOff>364043</xdr:colOff>
      <xdr:row>12</xdr:row>
      <xdr:rowOff>100431</xdr:rowOff>
    </xdr:to>
    <mc:AlternateContent xmlns:mc="http://schemas.openxmlformats.org/markup-compatibility/2006" xmlns:a14="http://schemas.microsoft.com/office/drawing/2010/main">
      <mc:Choice Requires="a14">
        <xdr:graphicFrame macro="">
          <xdr:nvGraphicFramePr>
            <xdr:cNvPr id="13" name="Specialization">
              <a:extLst>
                <a:ext uri="{FF2B5EF4-FFF2-40B4-BE49-F238E27FC236}">
                  <a16:creationId xmlns:a16="http://schemas.microsoft.com/office/drawing/2014/main" id="{9DE8FBBF-2B7D-AEEB-BA1C-6E1562031618}"/>
                </a:ext>
              </a:extLst>
            </xdr:cNvPr>
            <xdr:cNvGraphicFramePr/>
          </xdr:nvGraphicFramePr>
          <xdr:xfrm>
            <a:off x="0" y="0"/>
            <a:ext cx="0" cy="0"/>
          </xdr:xfrm>
          <a:graphic>
            <a:graphicData uri="http://schemas.microsoft.com/office/drawing/2010/slicer">
              <sle:slicer xmlns:sle="http://schemas.microsoft.com/office/drawing/2010/slicer" name="Specialization"/>
            </a:graphicData>
          </a:graphic>
        </xdr:graphicFrame>
      </mc:Choice>
      <mc:Fallback xmlns="">
        <xdr:sp macro="" textlink="">
          <xdr:nvSpPr>
            <xdr:cNvPr id="0" name=""/>
            <xdr:cNvSpPr>
              <a:spLocks noTextEdit="1"/>
            </xdr:cNvSpPr>
          </xdr:nvSpPr>
          <xdr:spPr>
            <a:xfrm>
              <a:off x="13789836" y="1195221"/>
              <a:ext cx="1814207" cy="1160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310642</xdr:colOff>
      <xdr:row>22</xdr:row>
      <xdr:rowOff>84226</xdr:rowOff>
    </xdr:from>
    <xdr:to>
      <xdr:col>10</xdr:col>
      <xdr:colOff>549445</xdr:colOff>
      <xdr:row>29</xdr:row>
      <xdr:rowOff>41233</xdr:rowOff>
    </xdr:to>
    <mc:AlternateContent xmlns:mc="http://schemas.openxmlformats.org/markup-compatibility/2006" xmlns:a14="http://schemas.microsoft.com/office/drawing/2010/main">
      <mc:Choice Requires="a14">
        <xdr:graphicFrame macro="">
          <xdr:nvGraphicFramePr>
            <xdr:cNvPr id="14" name="Payment_status">
              <a:extLst>
                <a:ext uri="{FF2B5EF4-FFF2-40B4-BE49-F238E27FC236}">
                  <a16:creationId xmlns:a16="http://schemas.microsoft.com/office/drawing/2014/main" id="{247DA24B-5322-90DF-3F3D-C4464DDDD62B}"/>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1773040" y="4218206"/>
              <a:ext cx="1819823" cy="1272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55653</xdr:colOff>
      <xdr:row>14</xdr:row>
      <xdr:rowOff>78798</xdr:rowOff>
    </xdr:from>
    <xdr:to>
      <xdr:col>13</xdr:col>
      <xdr:colOff>405472</xdr:colOff>
      <xdr:row>21</xdr:row>
      <xdr:rowOff>33387</xdr:rowOff>
    </xdr:to>
    <mc:AlternateContent xmlns:mc="http://schemas.openxmlformats.org/markup-compatibility/2006" xmlns:a14="http://schemas.microsoft.com/office/drawing/2010/main">
      <mc:Choice Requires="a14">
        <xdr:graphicFrame macro="">
          <xdr:nvGraphicFramePr>
            <xdr:cNvPr id="2" name="Payment_method">
              <a:extLst>
                <a:ext uri="{FF2B5EF4-FFF2-40B4-BE49-F238E27FC236}">
                  <a16:creationId xmlns:a16="http://schemas.microsoft.com/office/drawing/2014/main" id="{AE9F0D28-4431-9DE8-88BA-70B8D21E83B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831265" y="2709512"/>
              <a:ext cx="1814207" cy="1269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299180</xdr:colOff>
      <xdr:row>29</xdr:row>
      <xdr:rowOff>185702</xdr:rowOff>
    </xdr:from>
    <xdr:to>
      <xdr:col>10</xdr:col>
      <xdr:colOff>539161</xdr:colOff>
      <xdr:row>40</xdr:row>
      <xdr:rowOff>15991</xdr:rowOff>
    </xdr:to>
    <mc:AlternateContent xmlns:mc="http://schemas.openxmlformats.org/markup-compatibility/2006" xmlns:a14="http://schemas.microsoft.com/office/drawing/2010/main">
      <mc:Choice Requires="a14">
        <xdr:graphicFrame macro="">
          <xdr:nvGraphicFramePr>
            <xdr:cNvPr id="4" name="Reason_for_visit">
              <a:extLst>
                <a:ext uri="{FF2B5EF4-FFF2-40B4-BE49-F238E27FC236}">
                  <a16:creationId xmlns:a16="http://schemas.microsoft.com/office/drawing/2014/main" id="{EFE4604E-55D2-4306-61F1-7F79FF9E0D80}"/>
                </a:ext>
              </a:extLst>
            </xdr:cNvPr>
            <xdr:cNvGraphicFramePr/>
          </xdr:nvGraphicFramePr>
          <xdr:xfrm>
            <a:off x="0" y="0"/>
            <a:ext cx="0" cy="0"/>
          </xdr:xfrm>
          <a:graphic>
            <a:graphicData uri="http://schemas.microsoft.com/office/drawing/2010/slicer">
              <sle:slicer xmlns:sle="http://schemas.microsoft.com/office/drawing/2010/slicer" name="Reason_for_visit"/>
            </a:graphicData>
          </a:graphic>
        </xdr:graphicFrame>
      </mc:Choice>
      <mc:Fallback xmlns="">
        <xdr:sp macro="" textlink="">
          <xdr:nvSpPr>
            <xdr:cNvPr id="0" name=""/>
            <xdr:cNvSpPr>
              <a:spLocks noTextEdit="1"/>
            </xdr:cNvSpPr>
          </xdr:nvSpPr>
          <xdr:spPr>
            <a:xfrm>
              <a:off x="11761578" y="5635039"/>
              <a:ext cx="1821001" cy="1897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61857</xdr:colOff>
      <xdr:row>22</xdr:row>
      <xdr:rowOff>149524</xdr:rowOff>
    </xdr:from>
    <xdr:to>
      <xdr:col>13</xdr:col>
      <xdr:colOff>412721</xdr:colOff>
      <xdr:row>31</xdr:row>
      <xdr:rowOff>177500</xdr:rowOff>
    </xdr:to>
    <mc:AlternateContent xmlns:mc="http://schemas.openxmlformats.org/markup-compatibility/2006" xmlns:a14="http://schemas.microsoft.com/office/drawing/2010/main">
      <mc:Choice Requires="a14">
        <xdr:graphicFrame macro="">
          <xdr:nvGraphicFramePr>
            <xdr:cNvPr id="5" name="Treatment_type">
              <a:extLst>
                <a:ext uri="{FF2B5EF4-FFF2-40B4-BE49-F238E27FC236}">
                  <a16:creationId xmlns:a16="http://schemas.microsoft.com/office/drawing/2014/main" id="{68ED37A6-F5D3-B6E3-3CC2-6BC1656FB9C9}"/>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13837469" y="4283504"/>
              <a:ext cx="1815252" cy="17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1095050</xdr:colOff>
      <xdr:row>41</xdr:row>
      <xdr:rowOff>31360</xdr:rowOff>
    </xdr:from>
    <xdr:to>
      <xdr:col>8</xdr:col>
      <xdr:colOff>809947</xdr:colOff>
      <xdr:row>48</xdr:row>
      <xdr:rowOff>87603</xdr:rowOff>
    </xdr:to>
    <mc:AlternateContent xmlns:mc="http://schemas.openxmlformats.org/markup-compatibility/2006" xmlns:tsle="http://schemas.microsoft.com/office/drawing/2012/timeslicer">
      <mc:Choice Requires="tsle">
        <xdr:graphicFrame macro="">
          <xdr:nvGraphicFramePr>
            <xdr:cNvPr id="3" name="Bill_date">
              <a:extLst>
                <a:ext uri="{FF2B5EF4-FFF2-40B4-BE49-F238E27FC236}">
                  <a16:creationId xmlns:a16="http://schemas.microsoft.com/office/drawing/2014/main" id="{2C9BDDF9-EFCA-6A7B-B7C3-D32BEB57CC79}"/>
                </a:ext>
              </a:extLst>
            </xdr:cNvPr>
            <xdr:cNvGraphicFramePr/>
          </xdr:nvGraphicFramePr>
          <xdr:xfrm>
            <a:off x="0" y="0"/>
            <a:ext cx="0" cy="0"/>
          </xdr:xfrm>
          <a:graphic>
            <a:graphicData uri="http://schemas.microsoft.com/office/drawing/2012/timeslicer">
              <tsle:timeslicer name="Bill_date"/>
            </a:graphicData>
          </a:graphic>
        </xdr:graphicFrame>
      </mc:Choice>
      <mc:Fallback xmlns="">
        <xdr:sp macro="" textlink="">
          <xdr:nvSpPr>
            <xdr:cNvPr id="0" name=""/>
            <xdr:cNvSpPr>
              <a:spLocks noTextEdit="1"/>
            </xdr:cNvSpPr>
          </xdr:nvSpPr>
          <xdr:spPr>
            <a:xfrm>
              <a:off x="4257090" y="7735595"/>
              <a:ext cx="593530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162724</xdr:colOff>
      <xdr:row>0</xdr:row>
      <xdr:rowOff>28056</xdr:rowOff>
    </xdr:from>
    <xdr:to>
      <xdr:col>12</xdr:col>
      <xdr:colOff>105099</xdr:colOff>
      <xdr:row>4</xdr:row>
      <xdr:rowOff>38941</xdr:rowOff>
    </xdr:to>
    <xdr:sp macro="" textlink="">
      <xdr:nvSpPr>
        <xdr:cNvPr id="3" name="Rectangle: Rounded Corners 2">
          <a:extLst>
            <a:ext uri="{FF2B5EF4-FFF2-40B4-BE49-F238E27FC236}">
              <a16:creationId xmlns:a16="http://schemas.microsoft.com/office/drawing/2014/main" id="{78ADE314-68FD-42FE-B86B-4E5340819232}"/>
            </a:ext>
          </a:extLst>
        </xdr:cNvPr>
        <xdr:cNvSpPr/>
      </xdr:nvSpPr>
      <xdr:spPr>
        <a:xfrm>
          <a:off x="5369911" y="28056"/>
          <a:ext cx="2545968" cy="751562"/>
        </a:xfrm>
        <a:prstGeom prst="roundRect">
          <a:avLst/>
        </a:prstGeom>
        <a:ln>
          <a:noFill/>
        </a:ln>
        <a:effectLst>
          <a:innerShdw blurRad="114300">
            <a:prstClr val="black"/>
          </a:inn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l"/>
          <a:r>
            <a:rPr lang="en-IN" sz="2800">
              <a:solidFill>
                <a:schemeClr val="accent1">
                  <a:lumMod val="50000"/>
                </a:schemeClr>
              </a:solidFill>
              <a:latin typeface="Algerian" panose="04020705040A02060702" pitchFamily="82" charset="0"/>
            </a:rPr>
            <a:t>CHARTS</a:t>
          </a:r>
          <a:endParaRPr lang="en-IN" sz="1100">
            <a:solidFill>
              <a:schemeClr val="accent1">
                <a:lumMod val="50000"/>
              </a:schemeClr>
            </a:solidFill>
            <a:latin typeface="Algerian" panose="04020705040A02060702" pitchFamily="82" charset="0"/>
          </a:endParaRPr>
        </a:p>
      </xdr:txBody>
    </xdr:sp>
    <xdr:clientData/>
  </xdr:twoCellAnchor>
  <xdr:twoCellAnchor>
    <xdr:from>
      <xdr:col>0</xdr:col>
      <xdr:colOff>473697</xdr:colOff>
      <xdr:row>5</xdr:row>
      <xdr:rowOff>170076</xdr:rowOff>
    </xdr:from>
    <xdr:to>
      <xdr:col>7</xdr:col>
      <xdr:colOff>473697</xdr:colOff>
      <xdr:row>19</xdr:row>
      <xdr:rowOff>17563</xdr:rowOff>
    </xdr:to>
    <xdr:graphicFrame macro="">
      <xdr:nvGraphicFramePr>
        <xdr:cNvPr id="4" name="Chart 3">
          <a:extLst>
            <a:ext uri="{FF2B5EF4-FFF2-40B4-BE49-F238E27FC236}">
              <a16:creationId xmlns:a16="http://schemas.microsoft.com/office/drawing/2014/main" id="{0F8F9601-CAB5-4BEC-A985-222EFD8F4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510899</xdr:colOff>
      <xdr:row>0</xdr:row>
      <xdr:rowOff>165978</xdr:rowOff>
    </xdr:from>
    <xdr:to>
      <xdr:col>11</xdr:col>
      <xdr:colOff>478360</xdr:colOff>
      <xdr:row>3</xdr:row>
      <xdr:rowOff>175138</xdr:rowOff>
    </xdr:to>
    <xdr:pic>
      <xdr:nvPicPr>
        <xdr:cNvPr id="6" name="Graphic 5" descr="Bar chart with solid fill">
          <a:extLst>
            <a:ext uri="{FF2B5EF4-FFF2-40B4-BE49-F238E27FC236}">
              <a16:creationId xmlns:a16="http://schemas.microsoft.com/office/drawing/2014/main" id="{365497B6-A58C-9895-7F11-33B84EA99D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flipH="1" flipV="1">
          <a:off x="7019883" y="165978"/>
          <a:ext cx="618359" cy="564668"/>
        </a:xfrm>
        <a:prstGeom prst="rect">
          <a:avLst/>
        </a:prstGeom>
      </xdr:spPr>
    </xdr:pic>
    <xdr:clientData/>
  </xdr:twoCellAnchor>
  <xdr:twoCellAnchor>
    <xdr:from>
      <xdr:col>8</xdr:col>
      <xdr:colOff>481834</xdr:colOff>
      <xdr:row>5</xdr:row>
      <xdr:rowOff>164633</xdr:rowOff>
    </xdr:from>
    <xdr:to>
      <xdr:col>15</xdr:col>
      <xdr:colOff>138934</xdr:colOff>
      <xdr:row>18</xdr:row>
      <xdr:rowOff>170890</xdr:rowOff>
    </xdr:to>
    <xdr:graphicFrame macro="">
      <xdr:nvGraphicFramePr>
        <xdr:cNvPr id="2" name="Chart 1">
          <a:extLst>
            <a:ext uri="{FF2B5EF4-FFF2-40B4-BE49-F238E27FC236}">
              <a16:creationId xmlns:a16="http://schemas.microsoft.com/office/drawing/2014/main" id="{95C2B137-0083-4960-92CD-C8BC9D8D7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433408</xdr:colOff>
      <xdr:row>21</xdr:row>
      <xdr:rowOff>124512</xdr:rowOff>
    </xdr:from>
    <xdr:to>
      <xdr:col>7</xdr:col>
      <xdr:colOff>433408</xdr:colOff>
      <xdr:row>36</xdr:row>
      <xdr:rowOff>91854</xdr:rowOff>
    </xdr:to>
    <xdr:graphicFrame macro="">
      <xdr:nvGraphicFramePr>
        <xdr:cNvPr id="7" name="Chart 6">
          <a:extLst>
            <a:ext uri="{FF2B5EF4-FFF2-40B4-BE49-F238E27FC236}">
              <a16:creationId xmlns:a16="http://schemas.microsoft.com/office/drawing/2014/main" id="{EAFA32E1-33ED-4AE7-893F-F40C850FF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549672</xdr:colOff>
      <xdr:row>21</xdr:row>
      <xdr:rowOff>68401</xdr:rowOff>
    </xdr:from>
    <xdr:to>
      <xdr:col>15</xdr:col>
      <xdr:colOff>170917</xdr:colOff>
      <xdr:row>36</xdr:row>
      <xdr:rowOff>35743</xdr:rowOff>
    </xdr:to>
    <xdr:graphicFrame macro="">
      <xdr:nvGraphicFramePr>
        <xdr:cNvPr id="9" name="Chart 8">
          <a:extLst>
            <a:ext uri="{FF2B5EF4-FFF2-40B4-BE49-F238E27FC236}">
              <a16:creationId xmlns:a16="http://schemas.microsoft.com/office/drawing/2014/main" id="{783DDEA7-DD98-4FCA-B42A-89F2A4242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414163</xdr:colOff>
      <xdr:row>39</xdr:row>
      <xdr:rowOff>156944</xdr:rowOff>
    </xdr:from>
    <xdr:to>
      <xdr:col>9</xdr:col>
      <xdr:colOff>54934</xdr:colOff>
      <xdr:row>54</xdr:row>
      <xdr:rowOff>124176</xdr:rowOff>
    </xdr:to>
    <xdr:graphicFrame macro="">
      <xdr:nvGraphicFramePr>
        <xdr:cNvPr id="10" name="Chart 9">
          <a:extLst>
            <a:ext uri="{FF2B5EF4-FFF2-40B4-BE49-F238E27FC236}">
              <a16:creationId xmlns:a16="http://schemas.microsoft.com/office/drawing/2014/main" id="{ABF43027-446C-425C-8A8F-5F9F05BA5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387172</xdr:colOff>
      <xdr:row>40</xdr:row>
      <xdr:rowOff>16834</xdr:rowOff>
    </xdr:from>
    <xdr:to>
      <xdr:col>16</xdr:col>
      <xdr:colOff>387172</xdr:colOff>
      <xdr:row>54</xdr:row>
      <xdr:rowOff>169235</xdr:rowOff>
    </xdr:to>
    <xdr:graphicFrame macro="">
      <xdr:nvGraphicFramePr>
        <xdr:cNvPr id="11" name="Chart 10">
          <a:extLst>
            <a:ext uri="{FF2B5EF4-FFF2-40B4-BE49-F238E27FC236}">
              <a16:creationId xmlns:a16="http://schemas.microsoft.com/office/drawing/2014/main" id="{8317F9D2-6054-4CD0-BB19-C70C5A03F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450914</xdr:colOff>
      <xdr:row>6</xdr:row>
      <xdr:rowOff>49156</xdr:rowOff>
    </xdr:from>
    <xdr:to>
      <xdr:col>19</xdr:col>
      <xdr:colOff>320286</xdr:colOff>
      <xdr:row>12</xdr:row>
      <xdr:rowOff>130799</xdr:rowOff>
    </xdr:to>
    <mc:AlternateContent xmlns:mc="http://schemas.openxmlformats.org/markup-compatibility/2006" xmlns:a14="http://schemas.microsoft.com/office/drawing/2010/main">
      <mc:Choice Requires="a14">
        <xdr:graphicFrame macro="">
          <xdr:nvGraphicFramePr>
            <xdr:cNvPr id="12" name="Hospital_branch 1">
              <a:extLst>
                <a:ext uri="{FF2B5EF4-FFF2-40B4-BE49-F238E27FC236}">
                  <a16:creationId xmlns:a16="http://schemas.microsoft.com/office/drawing/2014/main" id="{28368DEB-1285-4146-980E-A0C355DC0F82}"/>
                </a:ext>
              </a:extLst>
            </xdr:cNvPr>
            <xdr:cNvGraphicFramePr/>
          </xdr:nvGraphicFramePr>
          <xdr:xfrm>
            <a:off x="0" y="0"/>
            <a:ext cx="0" cy="0"/>
          </xdr:xfrm>
          <a:graphic>
            <a:graphicData uri="http://schemas.microsoft.com/office/drawing/2010/slicer">
              <sle:slicer xmlns:sle="http://schemas.microsoft.com/office/drawing/2010/slicer" name="Hospital_branch 1"/>
            </a:graphicData>
          </a:graphic>
        </xdr:graphicFrame>
      </mc:Choice>
      <mc:Fallback xmlns="">
        <xdr:sp macro="" textlink="">
          <xdr:nvSpPr>
            <xdr:cNvPr id="0" name=""/>
            <xdr:cNvSpPr>
              <a:spLocks noTextEdit="1"/>
            </xdr:cNvSpPr>
          </xdr:nvSpPr>
          <xdr:spPr>
            <a:xfrm>
              <a:off x="10865288" y="1160172"/>
              <a:ext cx="1822067" cy="119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455179</xdr:colOff>
      <xdr:row>14</xdr:row>
      <xdr:rowOff>96626</xdr:rowOff>
    </xdr:from>
    <xdr:to>
      <xdr:col>19</xdr:col>
      <xdr:colOff>324551</xdr:colOff>
      <xdr:row>20</xdr:row>
      <xdr:rowOff>129284</xdr:rowOff>
    </xdr:to>
    <mc:AlternateContent xmlns:mc="http://schemas.openxmlformats.org/markup-compatibility/2006" xmlns:a14="http://schemas.microsoft.com/office/drawing/2010/main">
      <mc:Choice Requires="a14">
        <xdr:graphicFrame macro="">
          <xdr:nvGraphicFramePr>
            <xdr:cNvPr id="13" name="Specialization 1">
              <a:extLst>
                <a:ext uri="{FF2B5EF4-FFF2-40B4-BE49-F238E27FC236}">
                  <a16:creationId xmlns:a16="http://schemas.microsoft.com/office/drawing/2014/main" id="{9DDB9322-A4F8-4E5A-836A-BFBA136038B5}"/>
                </a:ext>
              </a:extLst>
            </xdr:cNvPr>
            <xdr:cNvGraphicFramePr/>
          </xdr:nvGraphicFramePr>
          <xdr:xfrm>
            <a:off x="0" y="0"/>
            <a:ext cx="0" cy="0"/>
          </xdr:xfrm>
          <a:graphic>
            <a:graphicData uri="http://schemas.microsoft.com/office/drawing/2010/slicer">
              <sle:slicer xmlns:sle="http://schemas.microsoft.com/office/drawing/2010/slicer" name="Specialization 1"/>
            </a:graphicData>
          </a:graphic>
        </xdr:graphicFrame>
      </mc:Choice>
      <mc:Fallback xmlns="">
        <xdr:sp macro="" textlink="">
          <xdr:nvSpPr>
            <xdr:cNvPr id="0" name=""/>
            <xdr:cNvSpPr>
              <a:spLocks noTextEdit="1"/>
            </xdr:cNvSpPr>
          </xdr:nvSpPr>
          <xdr:spPr>
            <a:xfrm>
              <a:off x="10869553" y="2688997"/>
              <a:ext cx="1822067" cy="114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470498</xdr:colOff>
      <xdr:row>22</xdr:row>
      <xdr:rowOff>38942</xdr:rowOff>
    </xdr:from>
    <xdr:to>
      <xdr:col>19</xdr:col>
      <xdr:colOff>339870</xdr:colOff>
      <xdr:row>30</xdr:row>
      <xdr:rowOff>98814</xdr:rowOff>
    </xdr:to>
    <mc:AlternateContent xmlns:mc="http://schemas.openxmlformats.org/markup-compatibility/2006" xmlns:a14="http://schemas.microsoft.com/office/drawing/2010/main">
      <mc:Choice Requires="a14">
        <xdr:graphicFrame macro="">
          <xdr:nvGraphicFramePr>
            <xdr:cNvPr id="14" name="Status 1">
              <a:extLst>
                <a:ext uri="{FF2B5EF4-FFF2-40B4-BE49-F238E27FC236}">
                  <a16:creationId xmlns:a16="http://schemas.microsoft.com/office/drawing/2014/main" id="{3CC41F71-0257-489C-975D-4D657DCCA79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0884872" y="4112668"/>
              <a:ext cx="1822067" cy="1541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505007</xdr:colOff>
      <xdr:row>32</xdr:row>
      <xdr:rowOff>107343</xdr:rowOff>
    </xdr:from>
    <xdr:to>
      <xdr:col>19</xdr:col>
      <xdr:colOff>376624</xdr:colOff>
      <xdr:row>39</xdr:row>
      <xdr:rowOff>36587</xdr:rowOff>
    </xdr:to>
    <mc:AlternateContent xmlns:mc="http://schemas.openxmlformats.org/markup-compatibility/2006" xmlns:a14="http://schemas.microsoft.com/office/drawing/2010/main">
      <mc:Choice Requires="a14">
        <xdr:graphicFrame macro="">
          <xdr:nvGraphicFramePr>
            <xdr:cNvPr id="15" name="Payment_status 1">
              <a:extLst>
                <a:ext uri="{FF2B5EF4-FFF2-40B4-BE49-F238E27FC236}">
                  <a16:creationId xmlns:a16="http://schemas.microsoft.com/office/drawing/2014/main" id="{7E229D93-36EE-442F-B988-F5A5989D6E9C}"/>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10919381" y="6032763"/>
              <a:ext cx="1824312" cy="1225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536822</xdr:colOff>
      <xdr:row>41</xdr:row>
      <xdr:rowOff>0</xdr:rowOff>
    </xdr:from>
    <xdr:to>
      <xdr:col>19</xdr:col>
      <xdr:colOff>412927</xdr:colOff>
      <xdr:row>47</xdr:row>
      <xdr:rowOff>140842</xdr:rowOff>
    </xdr:to>
    <mc:AlternateContent xmlns:mc="http://schemas.openxmlformats.org/markup-compatibility/2006" xmlns:a14="http://schemas.microsoft.com/office/drawing/2010/main">
      <mc:Choice Requires="a14">
        <xdr:graphicFrame macro="">
          <xdr:nvGraphicFramePr>
            <xdr:cNvPr id="5" name="Payment_method 1">
              <a:extLst>
                <a:ext uri="{FF2B5EF4-FFF2-40B4-BE49-F238E27FC236}">
                  <a16:creationId xmlns:a16="http://schemas.microsoft.com/office/drawing/2014/main" id="{A83D405E-B7A4-4505-8E04-77C155906373}"/>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0951196" y="7591944"/>
              <a:ext cx="1828800" cy="1251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48</xdr:row>
      <xdr:rowOff>173946</xdr:rowOff>
    </xdr:from>
    <xdr:to>
      <xdr:col>19</xdr:col>
      <xdr:colOff>527003</xdr:colOff>
      <xdr:row>59</xdr:row>
      <xdr:rowOff>3983</xdr:rowOff>
    </xdr:to>
    <mc:AlternateContent xmlns:mc="http://schemas.openxmlformats.org/markup-compatibility/2006" xmlns:a14="http://schemas.microsoft.com/office/drawing/2010/main">
      <mc:Choice Requires="a14">
        <xdr:graphicFrame macro="">
          <xdr:nvGraphicFramePr>
            <xdr:cNvPr id="8" name="Reason_for_visit 1">
              <a:extLst>
                <a:ext uri="{FF2B5EF4-FFF2-40B4-BE49-F238E27FC236}">
                  <a16:creationId xmlns:a16="http://schemas.microsoft.com/office/drawing/2014/main" id="{2BD3F891-C5EF-4D14-9C5F-E00A57160EF5}"/>
                </a:ext>
              </a:extLst>
            </xdr:cNvPr>
            <xdr:cNvGraphicFramePr/>
          </xdr:nvGraphicFramePr>
          <xdr:xfrm>
            <a:off x="0" y="0"/>
            <a:ext cx="0" cy="0"/>
          </xdr:xfrm>
          <a:graphic>
            <a:graphicData uri="http://schemas.microsoft.com/office/drawing/2010/slicer">
              <sle:slicer xmlns:sle="http://schemas.microsoft.com/office/drawing/2010/slicer" name="Reason_for_visit 1"/>
            </a:graphicData>
          </a:graphic>
        </xdr:graphicFrame>
      </mc:Choice>
      <mc:Fallback xmlns="">
        <xdr:sp macro="" textlink="">
          <xdr:nvSpPr>
            <xdr:cNvPr id="0" name=""/>
            <xdr:cNvSpPr>
              <a:spLocks noTextEdit="1"/>
            </xdr:cNvSpPr>
          </xdr:nvSpPr>
          <xdr:spPr>
            <a:xfrm>
              <a:off x="11065272" y="9062076"/>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420839</xdr:colOff>
      <xdr:row>55</xdr:row>
      <xdr:rowOff>44890</xdr:rowOff>
    </xdr:from>
    <xdr:to>
      <xdr:col>7</xdr:col>
      <xdr:colOff>436550</xdr:colOff>
      <xdr:row>70</xdr:row>
      <xdr:rowOff>10549</xdr:rowOff>
    </xdr:to>
    <xdr:graphicFrame macro="">
      <xdr:nvGraphicFramePr>
        <xdr:cNvPr id="17" name="Chart 16">
          <a:extLst>
            <a:ext uri="{FF2B5EF4-FFF2-40B4-BE49-F238E27FC236}">
              <a16:creationId xmlns:a16="http://schemas.microsoft.com/office/drawing/2014/main" id="{40D88734-5873-41D4-A093-CF95F487C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0</xdr:colOff>
      <xdr:row>60</xdr:row>
      <xdr:rowOff>28056</xdr:rowOff>
    </xdr:from>
    <xdr:to>
      <xdr:col>18</xdr:col>
      <xdr:colOff>77221</xdr:colOff>
      <xdr:row>67</xdr:row>
      <xdr:rowOff>103471</xdr:rowOff>
    </xdr:to>
    <mc:AlternateContent xmlns:mc="http://schemas.openxmlformats.org/markup-compatibility/2006" xmlns:tsle="http://schemas.microsoft.com/office/drawing/2012/timeslicer">
      <mc:Choice Requires="tsle">
        <xdr:graphicFrame macro="">
          <xdr:nvGraphicFramePr>
            <xdr:cNvPr id="18" name="Bill_date 1">
              <a:extLst>
                <a:ext uri="{FF2B5EF4-FFF2-40B4-BE49-F238E27FC236}">
                  <a16:creationId xmlns:a16="http://schemas.microsoft.com/office/drawing/2014/main" id="{457EC061-BA10-4250-A8BB-B61987757E2F}"/>
                </a:ext>
              </a:extLst>
            </xdr:cNvPr>
            <xdr:cNvGraphicFramePr/>
          </xdr:nvGraphicFramePr>
          <xdr:xfrm>
            <a:off x="0" y="0"/>
            <a:ext cx="0" cy="0"/>
          </xdr:xfrm>
          <a:graphic>
            <a:graphicData uri="http://schemas.microsoft.com/office/drawing/2012/timeslicer">
              <tsle:timeslicer name="Bill_date 1"/>
            </a:graphicData>
          </a:graphic>
        </xdr:graphicFrame>
      </mc:Choice>
      <mc:Fallback xmlns="">
        <xdr:sp macro="" textlink="">
          <xdr:nvSpPr>
            <xdr:cNvPr id="0" name=""/>
            <xdr:cNvSpPr>
              <a:spLocks noTextEdit="1"/>
            </xdr:cNvSpPr>
          </xdr:nvSpPr>
          <xdr:spPr>
            <a:xfrm>
              <a:off x="5858086" y="11138218"/>
              <a:ext cx="593530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0.33929</cdr:x>
      <cdr:y>0.4313</cdr:y>
    </cdr:from>
    <cdr:to>
      <cdr:x>0.49048</cdr:x>
      <cdr:y>0.71205</cdr:y>
    </cdr:to>
    <cdr:sp macro="" textlink="">
      <cdr:nvSpPr>
        <cdr:cNvPr id="2" name="Oval 1">
          <a:extLst xmlns:a="http://schemas.openxmlformats.org/drawingml/2006/main">
            <a:ext uri="{FF2B5EF4-FFF2-40B4-BE49-F238E27FC236}">
              <a16:creationId xmlns:a16="http://schemas.microsoft.com/office/drawing/2014/main" id="{8BC5F0CD-7238-EBED-6B77-678377E9F235}"/>
            </a:ext>
          </a:extLst>
        </cdr:cNvPr>
        <cdr:cNvSpPr/>
      </cdr:nvSpPr>
      <cdr:spPr>
        <a:xfrm xmlns:a="http://schemas.openxmlformats.org/drawingml/2006/main">
          <a:off x="1551214" y="1051679"/>
          <a:ext cx="691243" cy="684593"/>
        </a:xfrm>
        <a:prstGeom xmlns:a="http://schemas.openxmlformats.org/drawingml/2006/main" prst="ellipse">
          <a:avLst/>
        </a:prstGeom>
        <a:solidFill xmlns:a="http://schemas.openxmlformats.org/drawingml/2006/main">
          <a:schemeClr val="accent1">
            <a:lumMod val="50000"/>
          </a:schemeClr>
        </a:solidFill>
        <a:ln xmlns:a="http://schemas.openxmlformats.org/drawingml/2006/main">
          <a:solidFill>
            <a:schemeClr val="accent1">
              <a:lumMod val="50000"/>
            </a:schemeClr>
          </a:solidFill>
        </a:ln>
        <a:effectLst xmlns:a="http://schemas.openxmlformats.org/drawingml/2006/main">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200 Total </a:t>
          </a:r>
        </a:p>
      </cdr:txBody>
    </cdr:sp>
  </cdr:relSizeAnchor>
</c:userShapes>
</file>

<file path=xl/drawings/drawing7.xml><?xml version="1.0" encoding="utf-8"?>
<xdr:wsDr xmlns:xdr="http://schemas.openxmlformats.org/drawingml/2006/spreadsheetDrawing" xmlns:a="http://schemas.openxmlformats.org/drawingml/2006/main">
  <xdr:twoCellAnchor>
    <xdr:from>
      <xdr:col>16</xdr:col>
      <xdr:colOff>137446</xdr:colOff>
      <xdr:row>0</xdr:row>
      <xdr:rowOff>82468</xdr:rowOff>
    </xdr:from>
    <xdr:to>
      <xdr:col>20</xdr:col>
      <xdr:colOff>38485</xdr:colOff>
      <xdr:row>2</xdr:row>
      <xdr:rowOff>43982</xdr:rowOff>
    </xdr:to>
    <xdr:sp macro="" textlink="">
      <xdr:nvSpPr>
        <xdr:cNvPr id="18" name="Rectangle: Rounded Corners 17">
          <a:extLst>
            <a:ext uri="{FF2B5EF4-FFF2-40B4-BE49-F238E27FC236}">
              <a16:creationId xmlns:a16="http://schemas.microsoft.com/office/drawing/2014/main" id="{31C872C5-FFA2-D3C7-1F66-1A187B1C123E}"/>
            </a:ext>
          </a:extLst>
        </xdr:cNvPr>
        <xdr:cNvSpPr/>
      </xdr:nvSpPr>
      <xdr:spPr>
        <a:xfrm>
          <a:off x="10605325" y="82468"/>
          <a:ext cx="2518008" cy="335367"/>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209</xdr:col>
      <xdr:colOff>326568</xdr:colOff>
      <xdr:row>361</xdr:row>
      <xdr:rowOff>108858</xdr:rowOff>
    </xdr:to>
    <xdr:grpSp>
      <xdr:nvGrpSpPr>
        <xdr:cNvPr id="80" name="Group 79">
          <a:extLst>
            <a:ext uri="{FF2B5EF4-FFF2-40B4-BE49-F238E27FC236}">
              <a16:creationId xmlns:a16="http://schemas.microsoft.com/office/drawing/2014/main" id="{03E29570-E395-47F2-FB71-F342DAFFAA36}"/>
            </a:ext>
          </a:extLst>
        </xdr:cNvPr>
        <xdr:cNvGrpSpPr/>
      </xdr:nvGrpSpPr>
      <xdr:grpSpPr>
        <a:xfrm>
          <a:off x="0" y="0"/>
          <a:ext cx="136833428" cy="59054998"/>
          <a:chOff x="30080" y="-8105"/>
          <a:chExt cx="18905035" cy="9175102"/>
        </a:xfrm>
      </xdr:grpSpPr>
      <xdr:grpSp>
        <xdr:nvGrpSpPr>
          <xdr:cNvPr id="70" name="Group 69">
            <a:extLst>
              <a:ext uri="{FF2B5EF4-FFF2-40B4-BE49-F238E27FC236}">
                <a16:creationId xmlns:a16="http://schemas.microsoft.com/office/drawing/2014/main" id="{E5443161-85F6-5959-CE79-9175124DD4AD}"/>
              </a:ext>
            </a:extLst>
          </xdr:cNvPr>
          <xdr:cNvGrpSpPr/>
        </xdr:nvGrpSpPr>
        <xdr:grpSpPr>
          <a:xfrm>
            <a:off x="30080" y="-8105"/>
            <a:ext cx="18905035" cy="9175102"/>
            <a:chOff x="27891" y="-7038"/>
            <a:chExt cx="17529192" cy="7966787"/>
          </a:xfrm>
        </xdr:grpSpPr>
        <xdr:grpSp>
          <xdr:nvGrpSpPr>
            <xdr:cNvPr id="60" name="Group 59">
              <a:extLst>
                <a:ext uri="{FF2B5EF4-FFF2-40B4-BE49-F238E27FC236}">
                  <a16:creationId xmlns:a16="http://schemas.microsoft.com/office/drawing/2014/main" id="{4E2C8E31-1F52-EAC2-ED5F-09B1211E1B4C}"/>
                </a:ext>
              </a:extLst>
            </xdr:cNvPr>
            <xdr:cNvGrpSpPr/>
          </xdr:nvGrpSpPr>
          <xdr:grpSpPr>
            <a:xfrm>
              <a:off x="27891" y="-7038"/>
              <a:ext cx="17529192" cy="7966787"/>
              <a:chOff x="27515" y="-7038"/>
              <a:chExt cx="17292797" cy="7966787"/>
            </a:xfrm>
          </xdr:grpSpPr>
          <xdr:grpSp>
            <xdr:nvGrpSpPr>
              <xdr:cNvPr id="47" name="Group 46">
                <a:extLst>
                  <a:ext uri="{FF2B5EF4-FFF2-40B4-BE49-F238E27FC236}">
                    <a16:creationId xmlns:a16="http://schemas.microsoft.com/office/drawing/2014/main" id="{D6C489E3-8B92-63A7-E6B9-165A33B19EEA}"/>
                  </a:ext>
                </a:extLst>
              </xdr:cNvPr>
              <xdr:cNvGrpSpPr/>
            </xdr:nvGrpSpPr>
            <xdr:grpSpPr>
              <a:xfrm>
                <a:off x="27515" y="-7038"/>
                <a:ext cx="17292797" cy="7966787"/>
                <a:chOff x="27515" y="-7038"/>
                <a:chExt cx="17292797" cy="7966787"/>
              </a:xfrm>
            </xdr:grpSpPr>
            <xdr:sp macro="" textlink="">
              <xdr:nvSpPr>
                <xdr:cNvPr id="6" name="Rectangle: Rounded Corners 5">
                  <a:extLst>
                    <a:ext uri="{FF2B5EF4-FFF2-40B4-BE49-F238E27FC236}">
                      <a16:creationId xmlns:a16="http://schemas.microsoft.com/office/drawing/2014/main" id="{9B1ECF22-4B82-F032-4D69-9B898245E208}"/>
                    </a:ext>
                  </a:extLst>
                </xdr:cNvPr>
                <xdr:cNvSpPr/>
              </xdr:nvSpPr>
              <xdr:spPr>
                <a:xfrm>
                  <a:off x="27515" y="-7038"/>
                  <a:ext cx="17292797" cy="7966787"/>
                </a:xfrm>
                <a:prstGeom prst="roundRect">
                  <a:avLst>
                    <a:gd name="adj" fmla="val 745"/>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urveUp">
                    <a:avLst/>
                  </a:prstTxWarp>
                </a:bodyPr>
                <a:lstStyle/>
                <a:p>
                  <a:pPr algn="l"/>
                  <a:endParaRPr lang="en-IN" sz="1400">
                    <a:effectLst>
                      <a:outerShdw blurRad="50800" dist="38100" dir="2700000" algn="tl" rotWithShape="0">
                        <a:prstClr val="black">
                          <a:alpha val="40000"/>
                        </a:prstClr>
                      </a:outerShdw>
                    </a:effectLst>
                  </a:endParaRPr>
                </a:p>
              </xdr:txBody>
            </xdr:sp>
            <xdr:sp macro="" textlink="">
              <xdr:nvSpPr>
                <xdr:cNvPr id="13" name="TextBox 12">
                  <a:extLst>
                    <a:ext uri="{FF2B5EF4-FFF2-40B4-BE49-F238E27FC236}">
                      <a16:creationId xmlns:a16="http://schemas.microsoft.com/office/drawing/2014/main" id="{50B3C282-FE60-1E5C-E327-666C5D3EBC90}"/>
                    </a:ext>
                  </a:extLst>
                </xdr:cNvPr>
                <xdr:cNvSpPr txBox="1"/>
              </xdr:nvSpPr>
              <xdr:spPr>
                <a:xfrm>
                  <a:off x="5771145" y="88417"/>
                  <a:ext cx="6125479" cy="66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900" b="0" cap="none" spc="0">
                      <a:ln w="0"/>
                      <a:solidFill>
                        <a:schemeClr val="bg1"/>
                      </a:solidFill>
                      <a:effectLst>
                        <a:outerShdw blurRad="38100" dist="25400" dir="5400000" algn="ctr" rotWithShape="0">
                          <a:srgbClr val="6E747A">
                            <a:alpha val="43000"/>
                          </a:srgbClr>
                        </a:outerShdw>
                      </a:effectLst>
                      <a:latin typeface="Algerian" panose="04020705040A02060702" pitchFamily="82" charset="0"/>
                    </a:rPr>
                    <a:t>HOSPITAL MANAGEMENT DASHBOARD</a:t>
                  </a:r>
                </a:p>
              </xdr:txBody>
            </xdr:sp>
            <xdr:pic>
              <xdr:nvPicPr>
                <xdr:cNvPr id="15" name="Graphic 14" descr="Medical with solid fill">
                  <a:extLst>
                    <a:ext uri="{FF2B5EF4-FFF2-40B4-BE49-F238E27FC236}">
                      <a16:creationId xmlns:a16="http://schemas.microsoft.com/office/drawing/2014/main" id="{66241E63-F654-558E-4045-09735D625F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70367" y="-7038"/>
                  <a:ext cx="892752" cy="903081"/>
                </a:xfrm>
                <a:prstGeom prst="rect">
                  <a:avLst/>
                </a:prstGeom>
              </xdr:spPr>
            </xdr:pic>
            <xdr:grpSp>
              <xdr:nvGrpSpPr>
                <xdr:cNvPr id="23" name="Group 22">
                  <a:extLst>
                    <a:ext uri="{FF2B5EF4-FFF2-40B4-BE49-F238E27FC236}">
                      <a16:creationId xmlns:a16="http://schemas.microsoft.com/office/drawing/2014/main" id="{9AAC60DF-0AD9-D6CD-22B1-93129C7C7A9A}"/>
                    </a:ext>
                  </a:extLst>
                </xdr:cNvPr>
                <xdr:cNvGrpSpPr/>
              </xdr:nvGrpSpPr>
              <xdr:grpSpPr>
                <a:xfrm>
                  <a:off x="14383150" y="180372"/>
                  <a:ext cx="2350115" cy="541295"/>
                  <a:chOff x="12897029" y="184981"/>
                  <a:chExt cx="2342439" cy="412338"/>
                </a:xfrm>
              </xdr:grpSpPr>
              <xdr:sp macro="" textlink="">
                <xdr:nvSpPr>
                  <xdr:cNvPr id="21" name="Rectangle: Rounded Corners 20">
                    <a:extLst>
                      <a:ext uri="{FF2B5EF4-FFF2-40B4-BE49-F238E27FC236}">
                        <a16:creationId xmlns:a16="http://schemas.microsoft.com/office/drawing/2014/main" id="{39506F04-D2DC-6EBA-97DB-79A58255711A}"/>
                      </a:ext>
                    </a:extLst>
                  </xdr:cNvPr>
                  <xdr:cNvSpPr/>
                </xdr:nvSpPr>
                <xdr:spPr>
                  <a:xfrm>
                    <a:off x="12897029" y="204777"/>
                    <a:ext cx="2342439" cy="384849"/>
                  </a:xfrm>
                  <a:prstGeom prst="roundRect">
                    <a:avLst/>
                  </a:prstGeom>
                  <a:solidFill>
                    <a:srgbClr val="2D40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1500" b="1">
                        <a:solidFill>
                          <a:schemeClr val="bg1"/>
                        </a:solidFill>
                        <a:latin typeface="Book Antiqua" panose="02040602050305030304" pitchFamily="18" charset="0"/>
                      </a:rPr>
                      <a:t>JAN 2023</a:t>
                    </a:r>
                    <a:r>
                      <a:rPr lang="en-IN" sz="11500" b="1" baseline="0">
                        <a:solidFill>
                          <a:schemeClr val="bg1"/>
                        </a:solidFill>
                        <a:latin typeface="Book Antiqua" panose="02040602050305030304" pitchFamily="18" charset="0"/>
                      </a:rPr>
                      <a:t> - DEC 2023</a:t>
                    </a:r>
                    <a:endParaRPr lang="en-IN" sz="11500" b="1">
                      <a:solidFill>
                        <a:schemeClr val="bg1"/>
                      </a:solidFill>
                      <a:latin typeface="Book Antiqua" panose="02040602050305030304" pitchFamily="18" charset="0"/>
                    </a:endParaRPr>
                  </a:p>
                </xdr:txBody>
              </xdr:sp>
              <xdr:pic>
                <xdr:nvPicPr>
                  <xdr:cNvPr id="22" name="Graphic 21" descr="Daily calendar with solid fill">
                    <a:extLst>
                      <a:ext uri="{FF2B5EF4-FFF2-40B4-BE49-F238E27FC236}">
                        <a16:creationId xmlns:a16="http://schemas.microsoft.com/office/drawing/2014/main" id="{2289354C-DB9A-47E3-9B13-50E175DBB7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0175" y="184981"/>
                    <a:ext cx="441763" cy="412338"/>
                  </a:xfrm>
                  <a:prstGeom prst="rect">
                    <a:avLst/>
                  </a:prstGeom>
                </xdr:spPr>
              </xdr:pic>
            </xdr:grpSp>
            <xdr:grpSp>
              <xdr:nvGrpSpPr>
                <xdr:cNvPr id="39" name="Group 38">
                  <a:extLst>
                    <a:ext uri="{FF2B5EF4-FFF2-40B4-BE49-F238E27FC236}">
                      <a16:creationId xmlns:a16="http://schemas.microsoft.com/office/drawing/2014/main" id="{645765B4-30C5-4F68-9A3A-5AB633486C3E}"/>
                    </a:ext>
                  </a:extLst>
                </xdr:cNvPr>
                <xdr:cNvGrpSpPr/>
              </xdr:nvGrpSpPr>
              <xdr:grpSpPr>
                <a:xfrm>
                  <a:off x="206359" y="822681"/>
                  <a:ext cx="16653087" cy="6762592"/>
                  <a:chOff x="-41772" y="418715"/>
                  <a:chExt cx="16653087" cy="6249261"/>
                </a:xfrm>
              </xdr:grpSpPr>
              <xdr:grpSp>
                <xdr:nvGrpSpPr>
                  <xdr:cNvPr id="38" name="Group 37">
                    <a:extLst>
                      <a:ext uri="{FF2B5EF4-FFF2-40B4-BE49-F238E27FC236}">
                        <a16:creationId xmlns:a16="http://schemas.microsoft.com/office/drawing/2014/main" id="{F4C4FCAB-01A4-CBAE-F1BF-9F9A94DB9B82}"/>
                      </a:ext>
                    </a:extLst>
                  </xdr:cNvPr>
                  <xdr:cNvGrpSpPr/>
                </xdr:nvGrpSpPr>
                <xdr:grpSpPr>
                  <a:xfrm>
                    <a:off x="-41772" y="418715"/>
                    <a:ext cx="16653087" cy="6249261"/>
                    <a:chOff x="278396" y="410711"/>
                    <a:chExt cx="16653087" cy="6249261"/>
                  </a:xfrm>
                </xdr:grpSpPr>
                <xdr:sp macro="" textlink="">
                  <xdr:nvSpPr>
                    <xdr:cNvPr id="7" name="Rectangle: Rounded Corners 6">
                      <a:extLst>
                        <a:ext uri="{FF2B5EF4-FFF2-40B4-BE49-F238E27FC236}">
                          <a16:creationId xmlns:a16="http://schemas.microsoft.com/office/drawing/2014/main" id="{1F1EAACE-3651-44B7-AB96-BAF2ED31ADF4}"/>
                        </a:ext>
                      </a:extLst>
                    </xdr:cNvPr>
                    <xdr:cNvSpPr/>
                  </xdr:nvSpPr>
                  <xdr:spPr>
                    <a:xfrm>
                      <a:off x="278396" y="410711"/>
                      <a:ext cx="16653087" cy="6249261"/>
                    </a:xfrm>
                    <a:prstGeom prst="roundRect">
                      <a:avLst>
                        <a:gd name="adj" fmla="val 6263"/>
                      </a:avLst>
                    </a:prstGeom>
                    <a:solidFill>
                      <a:schemeClr val="accent1">
                        <a:lumMod val="20000"/>
                        <a:lumOff val="80000"/>
                      </a:schemeClr>
                    </a:solidFill>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8" name="Rectangle: Rounded Corners 7">
                      <a:extLst>
                        <a:ext uri="{FF2B5EF4-FFF2-40B4-BE49-F238E27FC236}">
                          <a16:creationId xmlns:a16="http://schemas.microsoft.com/office/drawing/2014/main" id="{7C054E5B-BF57-E4DD-F4DC-29A2E4C4ECBA}"/>
                        </a:ext>
                      </a:extLst>
                    </xdr:cNvPr>
                    <xdr:cNvSpPr/>
                  </xdr:nvSpPr>
                  <xdr:spPr>
                    <a:xfrm>
                      <a:off x="2844661" y="593819"/>
                      <a:ext cx="13050058" cy="943252"/>
                    </a:xfrm>
                    <a:prstGeom prst="roundRect">
                      <a:avLst/>
                    </a:prstGeom>
                    <a:solidFill>
                      <a:schemeClr val="accent1">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sp macro="" textlink="">
                  <xdr:nvSpPr>
                    <xdr:cNvPr id="9" name="Rectangle: Rounded Corners 8">
                      <a:extLst>
                        <a:ext uri="{FF2B5EF4-FFF2-40B4-BE49-F238E27FC236}">
                          <a16:creationId xmlns:a16="http://schemas.microsoft.com/office/drawing/2014/main" id="{C494EE06-63D8-4BB4-9571-83B3AB0029C9}"/>
                        </a:ext>
                      </a:extLst>
                    </xdr:cNvPr>
                    <xdr:cNvSpPr/>
                  </xdr:nvSpPr>
                  <xdr:spPr>
                    <a:xfrm>
                      <a:off x="567296" y="539632"/>
                      <a:ext cx="2146123" cy="5984634"/>
                    </a:xfrm>
                    <a:prstGeom prst="roundRect">
                      <a:avLst/>
                    </a:prstGeom>
                    <a:solidFill>
                      <a:schemeClr val="accent1">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t>                              </a:t>
                      </a:r>
                    </a:p>
                  </xdr:txBody>
                </xdr:sp>
              </xdr:grpSp>
              <xdr:grpSp>
                <xdr:nvGrpSpPr>
                  <xdr:cNvPr id="27" name="Group 26">
                    <a:extLst>
                      <a:ext uri="{FF2B5EF4-FFF2-40B4-BE49-F238E27FC236}">
                        <a16:creationId xmlns:a16="http://schemas.microsoft.com/office/drawing/2014/main" id="{2AA84A4E-48E3-4270-8379-17BB1F0BD405}"/>
                      </a:ext>
                    </a:extLst>
                  </xdr:cNvPr>
                  <xdr:cNvGrpSpPr/>
                </xdr:nvGrpSpPr>
                <xdr:grpSpPr>
                  <a:xfrm>
                    <a:off x="5034635" y="1293842"/>
                    <a:ext cx="2662016" cy="1126538"/>
                    <a:chOff x="2318671" y="1409387"/>
                    <a:chExt cx="2653162" cy="1145691"/>
                  </a:xfrm>
                </xdr:grpSpPr>
                <xdr:sp macro="" textlink="">
                  <xdr:nvSpPr>
                    <xdr:cNvPr id="28" name="Rectangle: Rounded Corners 27">
                      <a:extLst>
                        <a:ext uri="{FF2B5EF4-FFF2-40B4-BE49-F238E27FC236}">
                          <a16:creationId xmlns:a16="http://schemas.microsoft.com/office/drawing/2014/main" id="{4F4FAD2B-5350-2D1E-955B-C4120063E4FA}"/>
                        </a:ext>
                      </a:extLst>
                    </xdr:cNvPr>
                    <xdr:cNvSpPr/>
                  </xdr:nvSpPr>
                  <xdr:spPr>
                    <a:xfrm>
                      <a:off x="2318671" y="1409387"/>
                      <a:ext cx="1021501" cy="1145691"/>
                    </a:xfrm>
                    <a:prstGeom prst="round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ln>
                      <a:solidFill>
                        <a:schemeClr val="accent1">
                          <a:lumMod val="20000"/>
                          <a:lumOff val="80000"/>
                        </a:schemeClr>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sp macro="" textlink="">
                  <xdr:nvSpPr>
                    <xdr:cNvPr id="29" name="Rectangle: Rounded Corners 28">
                      <a:extLst>
                        <a:ext uri="{FF2B5EF4-FFF2-40B4-BE49-F238E27FC236}">
                          <a16:creationId xmlns:a16="http://schemas.microsoft.com/office/drawing/2014/main" id="{9F767B0B-7314-1EF0-FD5D-37446270DEAE}"/>
                        </a:ext>
                      </a:extLst>
                    </xdr:cNvPr>
                    <xdr:cNvSpPr/>
                  </xdr:nvSpPr>
                  <xdr:spPr>
                    <a:xfrm>
                      <a:off x="2435218" y="1419463"/>
                      <a:ext cx="2536615" cy="1108011"/>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grpSp>
              <xdr:grpSp>
                <xdr:nvGrpSpPr>
                  <xdr:cNvPr id="30" name="Group 29">
                    <a:extLst>
                      <a:ext uri="{FF2B5EF4-FFF2-40B4-BE49-F238E27FC236}">
                        <a16:creationId xmlns:a16="http://schemas.microsoft.com/office/drawing/2014/main" id="{606B3AA8-44BE-411C-80C6-5CBC7090F386}"/>
                      </a:ext>
                    </a:extLst>
                  </xdr:cNvPr>
                  <xdr:cNvGrpSpPr/>
                </xdr:nvGrpSpPr>
                <xdr:grpSpPr>
                  <a:xfrm>
                    <a:off x="7781903" y="1300757"/>
                    <a:ext cx="2473587" cy="1078911"/>
                    <a:chOff x="2133299" y="1427605"/>
                    <a:chExt cx="2465359" cy="1097256"/>
                  </a:xfrm>
                </xdr:grpSpPr>
                <xdr:sp macro="" textlink="">
                  <xdr:nvSpPr>
                    <xdr:cNvPr id="55" name="Rectangle: Rounded Corners 54">
                      <a:extLst>
                        <a:ext uri="{FF2B5EF4-FFF2-40B4-BE49-F238E27FC236}">
                          <a16:creationId xmlns:a16="http://schemas.microsoft.com/office/drawing/2014/main" id="{5E5483B1-5512-E6A8-57CE-858D643C7A35}"/>
                        </a:ext>
                      </a:extLst>
                    </xdr:cNvPr>
                    <xdr:cNvSpPr/>
                  </xdr:nvSpPr>
                  <xdr:spPr>
                    <a:xfrm>
                      <a:off x="2133299" y="1438854"/>
                      <a:ext cx="758285" cy="1079106"/>
                    </a:xfrm>
                    <a:prstGeom prst="round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ln>
                      <a:solidFill>
                        <a:schemeClr val="accent1">
                          <a:lumMod val="20000"/>
                          <a:lumOff val="80000"/>
                        </a:schemeClr>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sp macro="" textlink="">
                  <xdr:nvSpPr>
                    <xdr:cNvPr id="56" name="Rectangle: Rounded Corners 55">
                      <a:extLst>
                        <a:ext uri="{FF2B5EF4-FFF2-40B4-BE49-F238E27FC236}">
                          <a16:creationId xmlns:a16="http://schemas.microsoft.com/office/drawing/2014/main" id="{986DD332-F37C-AB39-A23A-34110A6E3831}"/>
                        </a:ext>
                      </a:extLst>
                    </xdr:cNvPr>
                    <xdr:cNvSpPr/>
                  </xdr:nvSpPr>
                  <xdr:spPr>
                    <a:xfrm>
                      <a:off x="2289545" y="1427605"/>
                      <a:ext cx="2309113" cy="1097256"/>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grpSp>
              <xdr:grpSp>
                <xdr:nvGrpSpPr>
                  <xdr:cNvPr id="37" name="Group 36">
                    <a:extLst>
                      <a:ext uri="{FF2B5EF4-FFF2-40B4-BE49-F238E27FC236}">
                        <a16:creationId xmlns:a16="http://schemas.microsoft.com/office/drawing/2014/main" id="{B83FEE63-3DED-1E1D-BBD8-4D0193194B2E}"/>
                      </a:ext>
                    </a:extLst>
                  </xdr:cNvPr>
                  <xdr:cNvGrpSpPr/>
                </xdr:nvGrpSpPr>
                <xdr:grpSpPr>
                  <a:xfrm>
                    <a:off x="2276316" y="1192240"/>
                    <a:ext cx="2427536" cy="1192616"/>
                    <a:chOff x="2340350" y="1168227"/>
                    <a:chExt cx="2427536" cy="1192616"/>
                  </a:xfrm>
                </xdr:grpSpPr>
                <xdr:grpSp>
                  <xdr:nvGrpSpPr>
                    <xdr:cNvPr id="26" name="Group 25">
                      <a:extLst>
                        <a:ext uri="{FF2B5EF4-FFF2-40B4-BE49-F238E27FC236}">
                          <a16:creationId xmlns:a16="http://schemas.microsoft.com/office/drawing/2014/main" id="{0D977A8C-5EAF-BCA2-B7C6-94EB3F840FF1}"/>
                        </a:ext>
                      </a:extLst>
                    </xdr:cNvPr>
                    <xdr:cNvGrpSpPr/>
                  </xdr:nvGrpSpPr>
                  <xdr:grpSpPr>
                    <a:xfrm>
                      <a:off x="2340350" y="1168227"/>
                      <a:ext cx="2427536" cy="1192616"/>
                      <a:chOff x="2229390" y="1320776"/>
                      <a:chExt cx="2419459" cy="1212892"/>
                    </a:xfrm>
                  </xdr:grpSpPr>
                  <xdr:sp macro="" textlink="">
                    <xdr:nvSpPr>
                      <xdr:cNvPr id="10" name="Rectangle: Rounded Corners 9">
                        <a:extLst>
                          <a:ext uri="{FF2B5EF4-FFF2-40B4-BE49-F238E27FC236}">
                            <a16:creationId xmlns:a16="http://schemas.microsoft.com/office/drawing/2014/main" id="{46631458-7AD2-582F-3F6E-4D96A998FED6}"/>
                          </a:ext>
                        </a:extLst>
                      </xdr:cNvPr>
                      <xdr:cNvSpPr/>
                    </xdr:nvSpPr>
                    <xdr:spPr>
                      <a:xfrm>
                        <a:off x="2229390" y="1320776"/>
                        <a:ext cx="2330220" cy="1205474"/>
                      </a:xfrm>
                      <a:prstGeom prst="round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ln>
                        <a:solidFill>
                          <a:schemeClr val="accent1">
                            <a:lumMod val="20000"/>
                            <a:lumOff val="80000"/>
                          </a:schemeClr>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solidFill>
                            <a:schemeClr val="bg2">
                              <a:lumMod val="10000"/>
                            </a:schemeClr>
                          </a:solidFill>
                        </a:endParaRPr>
                      </a:p>
                    </xdr:txBody>
                  </xdr:sp>
                  <xdr:sp macro="" textlink="">
                    <xdr:nvSpPr>
                      <xdr:cNvPr id="11" name="Rectangle: Rounded Corners 10">
                        <a:extLst>
                          <a:ext uri="{FF2B5EF4-FFF2-40B4-BE49-F238E27FC236}">
                            <a16:creationId xmlns:a16="http://schemas.microsoft.com/office/drawing/2014/main" id="{BAB254B7-25FA-47FD-9394-A8A6D8FE8DCA}"/>
                          </a:ext>
                        </a:extLst>
                      </xdr:cNvPr>
                      <xdr:cNvSpPr/>
                    </xdr:nvSpPr>
                    <xdr:spPr>
                      <a:xfrm>
                        <a:off x="2345257" y="1362179"/>
                        <a:ext cx="2303592" cy="1171489"/>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grpSp>
                <xdr:sp macro="" textlink="">
                  <xdr:nvSpPr>
                    <xdr:cNvPr id="33" name="TextBox 32">
                      <a:extLst>
                        <a:ext uri="{FF2B5EF4-FFF2-40B4-BE49-F238E27FC236}">
                          <a16:creationId xmlns:a16="http://schemas.microsoft.com/office/drawing/2014/main" id="{AC4F3AFC-B9C1-CE85-22A3-2547018A54F1}"/>
                        </a:ext>
                      </a:extLst>
                    </xdr:cNvPr>
                    <xdr:cNvSpPr txBox="1"/>
                  </xdr:nvSpPr>
                  <xdr:spPr>
                    <a:xfrm>
                      <a:off x="2520015" y="1244840"/>
                      <a:ext cx="2093900" cy="655548"/>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500" b="1">
                          <a:solidFill>
                            <a:schemeClr val="bg1"/>
                          </a:solidFill>
                          <a:latin typeface="Book Antiqua" panose="02040602050305030304" pitchFamily="18" charset="0"/>
                        </a:rPr>
                        <a:t>TOTAL</a:t>
                      </a:r>
                      <a:r>
                        <a:rPr lang="en-IN" sz="9600" b="1" baseline="0">
                          <a:solidFill>
                            <a:schemeClr val="bg1"/>
                          </a:solidFill>
                          <a:latin typeface="Book Antiqua" panose="02040602050305030304" pitchFamily="18" charset="0"/>
                        </a:rPr>
                        <a:t> </a:t>
                      </a:r>
                      <a:r>
                        <a:rPr lang="en-IN" sz="11500" b="1" baseline="0">
                          <a:solidFill>
                            <a:schemeClr val="bg1"/>
                          </a:solidFill>
                          <a:latin typeface="Book Antiqua" panose="02040602050305030304" pitchFamily="18" charset="0"/>
                        </a:rPr>
                        <a:t>APPOINTMENTS</a:t>
                      </a:r>
                      <a:endParaRPr lang="en-IN" sz="9600" b="1">
                        <a:solidFill>
                          <a:schemeClr val="bg1"/>
                        </a:solidFill>
                        <a:latin typeface="Book Antiqua" panose="02040602050305030304" pitchFamily="18" charset="0"/>
                      </a:endParaRPr>
                    </a:p>
                  </xdr:txBody>
                </xdr:sp>
                <xdr:sp macro="" textlink="PIVOT!C7">
                  <xdr:nvSpPr>
                    <xdr:cNvPr id="34" name="TextBox 33">
                      <a:extLst>
                        <a:ext uri="{FF2B5EF4-FFF2-40B4-BE49-F238E27FC236}">
                          <a16:creationId xmlns:a16="http://schemas.microsoft.com/office/drawing/2014/main" id="{023CDAA2-FACA-4CEB-9D66-CA31D7A2300E}"/>
                        </a:ext>
                      </a:extLst>
                    </xdr:cNvPr>
                    <xdr:cNvSpPr txBox="1"/>
                  </xdr:nvSpPr>
                  <xdr:spPr>
                    <a:xfrm>
                      <a:off x="2369265" y="1722311"/>
                      <a:ext cx="1697743" cy="444545"/>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416D4C-B5F0-4D23-9AE3-65CCB5A54F20}" type="TxLink">
                        <a:rPr lang="en-US" sz="34400" b="0" i="0" u="none" strike="noStrike">
                          <a:solidFill>
                            <a:srgbClr val="FFC000"/>
                          </a:solidFill>
                          <a:latin typeface="Bodoni MT Black" panose="02070A03080606020203" pitchFamily="18" charset="0"/>
                          <a:ea typeface="Calibri"/>
                          <a:cs typeface="Calibri"/>
                        </a:rPr>
                        <a:pPr algn="ctr"/>
                        <a:t>6</a:t>
                      </a:fld>
                      <a:endParaRPr lang="en-IN" sz="34400" b="1">
                        <a:solidFill>
                          <a:srgbClr val="FFC000"/>
                        </a:solidFill>
                        <a:latin typeface="Bodoni MT Black" panose="02070A03080606020203" pitchFamily="18" charset="0"/>
                      </a:endParaRPr>
                    </a:p>
                  </xdr:txBody>
                </xdr:sp>
                <xdr:pic>
                  <xdr:nvPicPr>
                    <xdr:cNvPr id="36" name="Graphic 35" descr="Daily calendar with solid fill">
                      <a:extLst>
                        <a:ext uri="{FF2B5EF4-FFF2-40B4-BE49-F238E27FC236}">
                          <a16:creationId xmlns:a16="http://schemas.microsoft.com/office/drawing/2014/main" id="{2202CCD3-9AB8-D59A-FB62-81B172B0D7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51740" y="1475657"/>
                      <a:ext cx="472247" cy="472247"/>
                    </a:xfrm>
                    <a:prstGeom prst="rect">
                      <a:avLst/>
                    </a:prstGeom>
                  </xdr:spPr>
                </xdr:pic>
              </xdr:grpSp>
            </xdr:grpSp>
          </xdr:grpSp>
          <xdr:sp macro="" textlink="">
            <xdr:nvSpPr>
              <xdr:cNvPr id="41" name="TextBox 40">
                <a:extLst>
                  <a:ext uri="{FF2B5EF4-FFF2-40B4-BE49-F238E27FC236}">
                    <a16:creationId xmlns:a16="http://schemas.microsoft.com/office/drawing/2014/main" id="{942319DE-95D1-AB59-D7D9-9720A2C76052}"/>
                  </a:ext>
                </a:extLst>
              </xdr:cNvPr>
              <xdr:cNvSpPr txBox="1"/>
            </xdr:nvSpPr>
            <xdr:spPr>
              <a:xfrm>
                <a:off x="5409968" y="1803067"/>
                <a:ext cx="2001050" cy="56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500" b="1">
                    <a:solidFill>
                      <a:schemeClr val="bg1"/>
                    </a:solidFill>
                    <a:latin typeface="Book Antiqua" panose="02040602050305030304" pitchFamily="18" charset="0"/>
                  </a:rPr>
                  <a:t>COMPLETION</a:t>
                </a:r>
                <a:r>
                  <a:rPr lang="en-IN" sz="11500" b="1" baseline="0">
                    <a:solidFill>
                      <a:schemeClr val="bg1"/>
                    </a:solidFill>
                    <a:latin typeface="Book Antiqua" panose="02040602050305030304" pitchFamily="18" charset="0"/>
                  </a:rPr>
                  <a:t> RATE / NO SHOW RATE</a:t>
                </a:r>
                <a:endParaRPr lang="en-IN" sz="11500" b="1">
                  <a:solidFill>
                    <a:schemeClr val="bg1"/>
                  </a:solidFill>
                  <a:latin typeface="Book Antiqua" panose="02040602050305030304" pitchFamily="18" charset="0"/>
                </a:endParaRPr>
              </a:p>
            </xdr:txBody>
          </xdr:sp>
          <xdr:sp macro="" textlink="">
            <xdr:nvSpPr>
              <xdr:cNvPr id="42" name="TextBox 41">
                <a:extLst>
                  <a:ext uri="{FF2B5EF4-FFF2-40B4-BE49-F238E27FC236}">
                    <a16:creationId xmlns:a16="http://schemas.microsoft.com/office/drawing/2014/main" id="{3987CF74-BF71-266C-4AFD-17121546385E}"/>
                  </a:ext>
                </a:extLst>
              </xdr:cNvPr>
              <xdr:cNvSpPr txBox="1"/>
            </xdr:nvSpPr>
            <xdr:spPr>
              <a:xfrm>
                <a:off x="6715526" y="2913531"/>
                <a:ext cx="169689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a:t>23%</a:t>
                </a:r>
              </a:p>
            </xdr:txBody>
          </xdr:sp>
          <xdr:pic>
            <xdr:nvPicPr>
              <xdr:cNvPr id="46" name="Graphic 45" descr="Checklist with solid fill">
                <a:extLst>
                  <a:ext uri="{FF2B5EF4-FFF2-40B4-BE49-F238E27FC236}">
                    <a16:creationId xmlns:a16="http://schemas.microsoft.com/office/drawing/2014/main" id="{CCA6AF49-A8BF-44F2-923C-093AE53891A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35354" y="1881919"/>
                <a:ext cx="616323" cy="464242"/>
              </a:xfrm>
              <a:prstGeom prst="rect">
                <a:avLst/>
              </a:prstGeom>
            </xdr:spPr>
          </xdr:pic>
        </xdr:grpSp>
        <xdr:sp macro="" textlink="">
          <xdr:nvSpPr>
            <xdr:cNvPr id="62" name="TextBox 61">
              <a:extLst>
                <a:ext uri="{FF2B5EF4-FFF2-40B4-BE49-F238E27FC236}">
                  <a16:creationId xmlns:a16="http://schemas.microsoft.com/office/drawing/2014/main" id="{0ED6FB70-07B4-791D-1464-900548E301D9}"/>
                </a:ext>
              </a:extLst>
            </xdr:cNvPr>
            <xdr:cNvSpPr txBox="1"/>
          </xdr:nvSpPr>
          <xdr:spPr>
            <a:xfrm>
              <a:off x="8370594" y="1872681"/>
              <a:ext cx="2217163" cy="279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500" b="1">
                  <a:solidFill>
                    <a:schemeClr val="bg1"/>
                  </a:solidFill>
                  <a:latin typeface="Book Antiqua" panose="02040602050305030304" pitchFamily="18" charset="0"/>
                </a:rPr>
                <a:t>TOTAL BILL</a:t>
              </a:r>
              <a:r>
                <a:rPr lang="en-IN" sz="11500" b="1" baseline="0">
                  <a:solidFill>
                    <a:schemeClr val="bg1"/>
                  </a:solidFill>
                  <a:latin typeface="Book Antiqua" panose="02040602050305030304" pitchFamily="18" charset="0"/>
                </a:rPr>
                <a:t> AMOUNT</a:t>
              </a:r>
              <a:endParaRPr lang="en-IN" sz="11500" b="1">
                <a:solidFill>
                  <a:schemeClr val="bg1"/>
                </a:solidFill>
                <a:latin typeface="Book Antiqua" panose="02040602050305030304" pitchFamily="18" charset="0"/>
              </a:endParaRPr>
            </a:p>
          </xdr:txBody>
        </xdr:sp>
        <xdr:sp macro="" textlink="PIVOT!C8">
          <xdr:nvSpPr>
            <xdr:cNvPr id="63" name="TextBox 62">
              <a:extLst>
                <a:ext uri="{FF2B5EF4-FFF2-40B4-BE49-F238E27FC236}">
                  <a16:creationId xmlns:a16="http://schemas.microsoft.com/office/drawing/2014/main" id="{5100CD9C-911F-C924-FE3A-28788B90B1F6}"/>
                </a:ext>
              </a:extLst>
            </xdr:cNvPr>
            <xdr:cNvSpPr txBox="1"/>
          </xdr:nvSpPr>
          <xdr:spPr>
            <a:xfrm>
              <a:off x="8320221" y="2329556"/>
              <a:ext cx="2329222"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BDDCAB3-E794-432E-8B1C-4E35149EC91A}" type="TxLink">
                <a:rPr lang="en-US" sz="16600" b="0" i="0" u="none" strike="noStrike">
                  <a:solidFill>
                    <a:srgbClr val="FFC000"/>
                  </a:solidFill>
                  <a:latin typeface="Bodoni MT Black" panose="02070A03080606020203" pitchFamily="18" charset="0"/>
                  <a:ea typeface="Calibri"/>
                  <a:cs typeface="Calibri"/>
                </a:rPr>
                <a:pPr/>
                <a:t>₹ 15,628.27</a:t>
              </a:fld>
              <a:endParaRPr lang="en-IN" sz="1400">
                <a:solidFill>
                  <a:srgbClr val="FFC000"/>
                </a:solidFill>
                <a:latin typeface="Bodoni MT Black" panose="02070A03080606020203" pitchFamily="18" charset="0"/>
              </a:endParaRPr>
            </a:p>
          </xdr:txBody>
        </xdr:sp>
        <xdr:pic>
          <xdr:nvPicPr>
            <xdr:cNvPr id="69" name="Graphic 68" descr="Money with solid fill">
              <a:extLst>
                <a:ext uri="{FF2B5EF4-FFF2-40B4-BE49-F238E27FC236}">
                  <a16:creationId xmlns:a16="http://schemas.microsoft.com/office/drawing/2014/main" id="{B682C73B-58C5-4014-A0AF-D76BDECF5E5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012665" y="2048216"/>
              <a:ext cx="606651" cy="484030"/>
            </a:xfrm>
            <a:prstGeom prst="rect">
              <a:avLst/>
            </a:prstGeom>
          </xdr:spPr>
        </xdr:pic>
      </xdr:grpSp>
      <xdr:grpSp>
        <xdr:nvGrpSpPr>
          <xdr:cNvPr id="78" name="Group 77">
            <a:extLst>
              <a:ext uri="{FF2B5EF4-FFF2-40B4-BE49-F238E27FC236}">
                <a16:creationId xmlns:a16="http://schemas.microsoft.com/office/drawing/2014/main" id="{CE5A5059-D39A-937D-67EC-B6E578812E1A}"/>
              </a:ext>
            </a:extLst>
          </xdr:cNvPr>
          <xdr:cNvGrpSpPr/>
        </xdr:nvGrpSpPr>
        <xdr:grpSpPr>
          <a:xfrm>
            <a:off x="11648330" y="2047039"/>
            <a:ext cx="3135799" cy="1344918"/>
            <a:chOff x="11536017" y="1770383"/>
            <a:chExt cx="3135799" cy="1150981"/>
          </a:xfrm>
        </xdr:grpSpPr>
        <xdr:sp macro="" textlink="">
          <xdr:nvSpPr>
            <xdr:cNvPr id="71" name="Rectangle: Rounded Corners 70">
              <a:extLst>
                <a:ext uri="{FF2B5EF4-FFF2-40B4-BE49-F238E27FC236}">
                  <a16:creationId xmlns:a16="http://schemas.microsoft.com/office/drawing/2014/main" id="{C27DBFB2-9FC2-4708-A7DD-73F2D1010971}"/>
                </a:ext>
              </a:extLst>
            </xdr:cNvPr>
            <xdr:cNvSpPr/>
          </xdr:nvSpPr>
          <xdr:spPr>
            <a:xfrm>
              <a:off x="11536017" y="1820820"/>
              <a:ext cx="1559220" cy="1100544"/>
            </a:xfrm>
            <a:prstGeom prst="round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ln>
              <a:solidFill>
                <a:schemeClr val="accent1">
                  <a:lumMod val="20000"/>
                  <a:lumOff val="80000"/>
                </a:schemeClr>
              </a:solidFill>
            </a:ln>
            <a:effectLst>
              <a:softEdge rad="3175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grpSp>
          <xdr:nvGrpSpPr>
            <xdr:cNvPr id="77" name="Group 76">
              <a:extLst>
                <a:ext uri="{FF2B5EF4-FFF2-40B4-BE49-F238E27FC236}">
                  <a16:creationId xmlns:a16="http://schemas.microsoft.com/office/drawing/2014/main" id="{DF2036F0-CD5C-2F12-E44F-2EFB696F77C0}"/>
                </a:ext>
              </a:extLst>
            </xdr:cNvPr>
            <xdr:cNvGrpSpPr/>
          </xdr:nvGrpSpPr>
          <xdr:grpSpPr>
            <a:xfrm>
              <a:off x="11673256" y="1770383"/>
              <a:ext cx="2998560" cy="1134746"/>
              <a:chOff x="11647337" y="1761743"/>
              <a:chExt cx="2998560" cy="1134746"/>
            </a:xfrm>
          </xdr:grpSpPr>
          <xdr:sp macro="" textlink="">
            <xdr:nvSpPr>
              <xdr:cNvPr id="72" name="Rectangle: Rounded Corners 71">
                <a:extLst>
                  <a:ext uri="{FF2B5EF4-FFF2-40B4-BE49-F238E27FC236}">
                    <a16:creationId xmlns:a16="http://schemas.microsoft.com/office/drawing/2014/main" id="{05AD9D86-B717-4E52-8F4F-89ED1D6F4BD2}"/>
                  </a:ext>
                </a:extLst>
              </xdr:cNvPr>
              <xdr:cNvSpPr/>
            </xdr:nvSpPr>
            <xdr:spPr>
              <a:xfrm>
                <a:off x="11647337" y="1775995"/>
                <a:ext cx="2960960" cy="1120494"/>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effectLst>
                <a:innerShdw blurRad="63500" dist="50800" dir="162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a:p>
            </xdr:txBody>
          </xdr:sp>
          <xdr:sp macro="" textlink="">
            <xdr:nvSpPr>
              <xdr:cNvPr id="73" name="TextBox 72">
                <a:extLst>
                  <a:ext uri="{FF2B5EF4-FFF2-40B4-BE49-F238E27FC236}">
                    <a16:creationId xmlns:a16="http://schemas.microsoft.com/office/drawing/2014/main" id="{C5770B4A-01EF-16B8-0A2E-E69C098E57DC}"/>
                  </a:ext>
                </a:extLst>
              </xdr:cNvPr>
              <xdr:cNvSpPr txBox="1"/>
            </xdr:nvSpPr>
            <xdr:spPr>
              <a:xfrm>
                <a:off x="11675197" y="1761743"/>
                <a:ext cx="2970700" cy="448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500" b="1">
                    <a:solidFill>
                      <a:schemeClr val="bg1"/>
                    </a:solidFill>
                    <a:latin typeface="Book Antiqua" panose="02040602050305030304" pitchFamily="18" charset="0"/>
                  </a:rPr>
                  <a:t>AVERAGE</a:t>
                </a:r>
                <a:r>
                  <a:rPr lang="en-IN" sz="9600" b="1">
                    <a:solidFill>
                      <a:schemeClr val="bg1"/>
                    </a:solidFill>
                    <a:latin typeface="Book Antiqua" panose="02040602050305030304" pitchFamily="18" charset="0"/>
                  </a:rPr>
                  <a:t> TREATMENT</a:t>
                </a:r>
                <a:r>
                  <a:rPr lang="en-IN" sz="11500" b="1" baseline="0">
                    <a:solidFill>
                      <a:schemeClr val="bg1"/>
                    </a:solidFill>
                    <a:latin typeface="Book Antiqua" panose="02040602050305030304" pitchFamily="18" charset="0"/>
                  </a:rPr>
                  <a:t> COST</a:t>
                </a:r>
                <a:endParaRPr lang="en-IN" sz="9600" b="1">
                  <a:solidFill>
                    <a:schemeClr val="bg1"/>
                  </a:solidFill>
                  <a:latin typeface="Book Antiqua" panose="02040602050305030304" pitchFamily="18" charset="0"/>
                </a:endParaRPr>
              </a:p>
            </xdr:txBody>
          </xdr:sp>
          <xdr:pic>
            <xdr:nvPicPr>
              <xdr:cNvPr id="75" name="Graphic 74" descr="Coins with solid fill">
                <a:extLst>
                  <a:ext uri="{FF2B5EF4-FFF2-40B4-BE49-F238E27FC236}">
                    <a16:creationId xmlns:a16="http://schemas.microsoft.com/office/drawing/2014/main" id="{0D92C9CD-F9D7-EDB7-1BB7-CB5DE021D35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715725" y="2086902"/>
                <a:ext cx="740044" cy="755432"/>
              </a:xfrm>
              <a:prstGeom prst="rect">
                <a:avLst/>
              </a:prstGeom>
            </xdr:spPr>
          </xdr:pic>
          <xdr:sp macro="" textlink="PIVOT!C11">
            <xdr:nvSpPr>
              <xdr:cNvPr id="76" name="TextBox 75">
                <a:extLst>
                  <a:ext uri="{FF2B5EF4-FFF2-40B4-BE49-F238E27FC236}">
                    <a16:creationId xmlns:a16="http://schemas.microsoft.com/office/drawing/2014/main" id="{6BAD27FA-1AA2-B2AD-E38A-0F1BFB795ACA}"/>
                  </a:ext>
                </a:extLst>
              </xdr:cNvPr>
              <xdr:cNvSpPr txBox="1"/>
            </xdr:nvSpPr>
            <xdr:spPr>
              <a:xfrm>
                <a:off x="11721258" y="2313528"/>
                <a:ext cx="2258203" cy="426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78145D-AC76-4FDF-915E-A9365EC24D5F}" type="TxLink">
                  <a:rPr lang="en-US" sz="19900" b="0" i="0" u="none" strike="noStrike">
                    <a:solidFill>
                      <a:srgbClr val="FFC000"/>
                    </a:solidFill>
                    <a:latin typeface="Bodoni MT Black" panose="02070A03080606020203" pitchFamily="18" charset="0"/>
                    <a:ea typeface="Calibri"/>
                    <a:cs typeface="Calibri"/>
                  </a:rPr>
                  <a:pPr/>
                  <a:t>₹ 2,662.69</a:t>
                </a:fld>
                <a:endParaRPr lang="en-IN" sz="1600">
                  <a:solidFill>
                    <a:srgbClr val="FFC000"/>
                  </a:solidFill>
                  <a:latin typeface="Bodoni MT Black" panose="02070A03080606020203" pitchFamily="18" charset="0"/>
                </a:endParaRPr>
              </a:p>
            </xdr:txBody>
          </xdr:sp>
        </xdr:grpSp>
      </xdr:grpSp>
    </xdr:grpSp>
    <xdr:clientData/>
  </xdr:twoCellAnchor>
  <xdr:twoCellAnchor>
    <xdr:from>
      <xdr:col>32</xdr:col>
      <xdr:colOff>1</xdr:colOff>
      <xdr:row>138</xdr:row>
      <xdr:rowOff>54427</xdr:rowOff>
    </xdr:from>
    <xdr:to>
      <xdr:col>69</xdr:col>
      <xdr:colOff>108854</xdr:colOff>
      <xdr:row>254</xdr:row>
      <xdr:rowOff>108859</xdr:rowOff>
    </xdr:to>
    <xdr:graphicFrame macro="">
      <xdr:nvGraphicFramePr>
        <xdr:cNvPr id="2" name="Chart 1">
          <a:extLst>
            <a:ext uri="{FF2B5EF4-FFF2-40B4-BE49-F238E27FC236}">
              <a16:creationId xmlns:a16="http://schemas.microsoft.com/office/drawing/2014/main" id="{5209BAFF-AC55-4C68-B596-8CD336FE4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116</xdr:col>
      <xdr:colOff>272145</xdr:colOff>
      <xdr:row>140</xdr:row>
      <xdr:rowOff>54428</xdr:rowOff>
    </xdr:from>
    <xdr:to>
      <xdr:col>157</xdr:col>
      <xdr:colOff>-1</xdr:colOff>
      <xdr:row>339</xdr:row>
      <xdr:rowOff>54425</xdr:rowOff>
    </xdr:to>
    <xdr:graphicFrame macro="">
      <xdr:nvGraphicFramePr>
        <xdr:cNvPr id="4" name="Chart 3">
          <a:extLst>
            <a:ext uri="{FF2B5EF4-FFF2-40B4-BE49-F238E27FC236}">
              <a16:creationId xmlns:a16="http://schemas.microsoft.com/office/drawing/2014/main" id="{15CD31C9-9AA7-40E5-9D94-87071FAB0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489856</xdr:colOff>
      <xdr:row>260</xdr:row>
      <xdr:rowOff>54424</xdr:rowOff>
    </xdr:from>
    <xdr:to>
      <xdr:col>115</xdr:col>
      <xdr:colOff>108856</xdr:colOff>
      <xdr:row>340</xdr:row>
      <xdr:rowOff>54432</xdr:rowOff>
    </xdr:to>
    <xdr:graphicFrame macro="">
      <xdr:nvGraphicFramePr>
        <xdr:cNvPr id="20" name="Chart 19">
          <a:extLst>
            <a:ext uri="{FF2B5EF4-FFF2-40B4-BE49-F238E27FC236}">
              <a16:creationId xmlns:a16="http://schemas.microsoft.com/office/drawing/2014/main" id="{25BB1F11-EA20-4FFB-82E1-B0C0CFC7D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97</xdr:col>
      <xdr:colOff>380993</xdr:colOff>
      <xdr:row>45</xdr:row>
      <xdr:rowOff>108854</xdr:rowOff>
    </xdr:from>
    <xdr:to>
      <xdr:col>131</xdr:col>
      <xdr:colOff>2745</xdr:colOff>
      <xdr:row>72</xdr:row>
      <xdr:rowOff>108859</xdr:rowOff>
    </xdr:to>
    <mc:AlternateContent xmlns:mc="http://schemas.openxmlformats.org/markup-compatibility/2006" xmlns:a14="http://schemas.microsoft.com/office/drawing/2010/main">
      <mc:Choice Requires="a14">
        <xdr:graphicFrame macro="">
          <xdr:nvGraphicFramePr>
            <xdr:cNvPr id="57" name="Hospital_branch 9">
              <a:extLst>
                <a:ext uri="{FF2B5EF4-FFF2-40B4-BE49-F238E27FC236}">
                  <a16:creationId xmlns:a16="http://schemas.microsoft.com/office/drawing/2014/main" id="{4C7F7BE9-B10A-4740-8896-19163D78CF37}"/>
                </a:ext>
              </a:extLst>
            </xdr:cNvPr>
            <xdr:cNvGraphicFramePr/>
          </xdr:nvGraphicFramePr>
          <xdr:xfrm>
            <a:off x="0" y="0"/>
            <a:ext cx="0" cy="0"/>
          </xdr:xfrm>
          <a:graphic>
            <a:graphicData uri="http://schemas.microsoft.com/office/drawing/2010/slicer">
              <sle:slicer xmlns:sle="http://schemas.microsoft.com/office/drawing/2010/slicer" name="Hospital_branch 9"/>
            </a:graphicData>
          </a:graphic>
        </xdr:graphicFrame>
      </mc:Choice>
      <mc:Fallback xmlns="">
        <xdr:sp macro="" textlink="">
          <xdr:nvSpPr>
            <xdr:cNvPr id="0" name=""/>
            <xdr:cNvSpPr>
              <a:spLocks noTextEdit="1"/>
            </xdr:cNvSpPr>
          </xdr:nvSpPr>
          <xdr:spPr>
            <a:xfrm>
              <a:off x="63735853" y="7456714"/>
              <a:ext cx="21828602" cy="4408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132</xdr:col>
      <xdr:colOff>217712</xdr:colOff>
      <xdr:row>45</xdr:row>
      <xdr:rowOff>54424</xdr:rowOff>
    </xdr:from>
    <xdr:to>
      <xdr:col>167</xdr:col>
      <xdr:colOff>109712</xdr:colOff>
      <xdr:row>72</xdr:row>
      <xdr:rowOff>109714</xdr:rowOff>
    </xdr:to>
    <mc:AlternateContent xmlns:mc="http://schemas.openxmlformats.org/markup-compatibility/2006" xmlns:a14="http://schemas.microsoft.com/office/drawing/2010/main">
      <mc:Choice Requires="a14">
        <xdr:graphicFrame macro="">
          <xdr:nvGraphicFramePr>
            <xdr:cNvPr id="14" name="Specialization 2">
              <a:extLst>
                <a:ext uri="{FF2B5EF4-FFF2-40B4-BE49-F238E27FC236}">
                  <a16:creationId xmlns:a16="http://schemas.microsoft.com/office/drawing/2014/main" id="{CD329635-7784-4EEC-8FF6-96A9BD62D9E4}"/>
                </a:ext>
              </a:extLst>
            </xdr:cNvPr>
            <xdr:cNvGraphicFramePr/>
          </xdr:nvGraphicFramePr>
          <xdr:xfrm>
            <a:off x="0" y="0"/>
            <a:ext cx="0" cy="0"/>
          </xdr:xfrm>
          <a:graphic>
            <a:graphicData uri="http://schemas.microsoft.com/office/drawing/2010/slicer">
              <sle:slicer xmlns:sle="http://schemas.microsoft.com/office/drawing/2010/slicer" name="Specialization 2"/>
            </a:graphicData>
          </a:graphic>
        </xdr:graphicFrame>
      </mc:Choice>
      <mc:Fallback xmlns="">
        <xdr:sp macro="" textlink="">
          <xdr:nvSpPr>
            <xdr:cNvPr id="0" name=""/>
            <xdr:cNvSpPr>
              <a:spLocks noTextEdit="1"/>
            </xdr:cNvSpPr>
          </xdr:nvSpPr>
          <xdr:spPr>
            <a:xfrm>
              <a:off x="86432572" y="7402284"/>
              <a:ext cx="22752000" cy="44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544288</xdr:colOff>
      <xdr:row>127</xdr:row>
      <xdr:rowOff>108852</xdr:rowOff>
    </xdr:from>
    <xdr:to>
      <xdr:col>29</xdr:col>
      <xdr:colOff>326574</xdr:colOff>
      <xdr:row>202</xdr:row>
      <xdr:rowOff>54433</xdr:rowOff>
    </xdr:to>
    <mc:AlternateContent xmlns:mc="http://schemas.openxmlformats.org/markup-compatibility/2006">
      <mc:Choice xmlns:a14="http://schemas.microsoft.com/office/drawing/2010/main" Requires="a14">
        <xdr:graphicFrame macro="">
          <xdr:nvGraphicFramePr>
            <xdr:cNvPr id="16" name="Status 2">
              <a:extLst>
                <a:ext uri="{FF2B5EF4-FFF2-40B4-BE49-F238E27FC236}">
                  <a16:creationId xmlns:a16="http://schemas.microsoft.com/office/drawing/2014/main" id="{23F8129B-A84C-4417-81F2-D68374192E07}"/>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3156858" y="20846142"/>
              <a:ext cx="16110856" cy="12192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435430</xdr:colOff>
      <xdr:row>209</xdr:row>
      <xdr:rowOff>108861</xdr:rowOff>
    </xdr:from>
    <xdr:to>
      <xdr:col>29</xdr:col>
      <xdr:colOff>108860</xdr:colOff>
      <xdr:row>272</xdr:row>
      <xdr:rowOff>108861</xdr:rowOff>
    </xdr:to>
    <mc:AlternateContent xmlns:mc="http://schemas.openxmlformats.org/markup-compatibility/2006" xmlns:a14="http://schemas.microsoft.com/office/drawing/2010/main">
      <mc:Choice Requires="a14">
        <xdr:graphicFrame macro="">
          <xdr:nvGraphicFramePr>
            <xdr:cNvPr id="17" name="Payment_status 2">
              <a:extLst>
                <a:ext uri="{FF2B5EF4-FFF2-40B4-BE49-F238E27FC236}">
                  <a16:creationId xmlns:a16="http://schemas.microsoft.com/office/drawing/2014/main" id="{8970BF10-F8D0-43B1-9A31-4B4974A518D6}"/>
                </a:ext>
              </a:extLst>
            </xdr:cNvPr>
            <xdr:cNvGraphicFramePr/>
          </xdr:nvGraphicFramePr>
          <xdr:xfrm>
            <a:off x="0" y="0"/>
            <a:ext cx="0" cy="0"/>
          </xdr:xfrm>
          <a:graphic>
            <a:graphicData uri="http://schemas.microsoft.com/office/drawing/2010/slicer">
              <sle:slicer xmlns:sle="http://schemas.microsoft.com/office/drawing/2010/slicer" name="Payment_status 2"/>
            </a:graphicData>
          </a:graphic>
        </xdr:graphicFrame>
      </mc:Choice>
      <mc:Fallback xmlns="">
        <xdr:sp macro="" textlink="">
          <xdr:nvSpPr>
            <xdr:cNvPr id="0" name=""/>
            <xdr:cNvSpPr>
              <a:spLocks noTextEdit="1"/>
            </xdr:cNvSpPr>
          </xdr:nvSpPr>
          <xdr:spPr>
            <a:xfrm>
              <a:off x="3048000" y="34235571"/>
              <a:ext cx="16002000" cy="1028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xdr:colOff>
      <xdr:row>277</xdr:row>
      <xdr:rowOff>108860</xdr:rowOff>
    </xdr:from>
    <xdr:to>
      <xdr:col>29</xdr:col>
      <xdr:colOff>108860</xdr:colOff>
      <xdr:row>339</xdr:row>
      <xdr:rowOff>54425</xdr:rowOff>
    </xdr:to>
    <mc:AlternateContent xmlns:mc="http://schemas.openxmlformats.org/markup-compatibility/2006" xmlns:a14="http://schemas.microsoft.com/office/drawing/2010/main">
      <mc:Choice Requires="a14">
        <xdr:graphicFrame macro="">
          <xdr:nvGraphicFramePr>
            <xdr:cNvPr id="19" name="Payment_method 2">
              <a:extLst>
                <a:ext uri="{FF2B5EF4-FFF2-40B4-BE49-F238E27FC236}">
                  <a16:creationId xmlns:a16="http://schemas.microsoft.com/office/drawing/2014/main" id="{3901CF4A-9929-45FE-B16E-3373530D4F3F}"/>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3265714" y="45339000"/>
              <a:ext cx="15784286" cy="10069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66</xdr:col>
      <xdr:colOff>380996</xdr:colOff>
      <xdr:row>107</xdr:row>
      <xdr:rowOff>54433</xdr:rowOff>
    </xdr:from>
    <xdr:to>
      <xdr:col>77</xdr:col>
      <xdr:colOff>272141</xdr:colOff>
      <xdr:row>128</xdr:row>
      <xdr:rowOff>32869</xdr:rowOff>
    </xdr:to>
    <xdr:sp macro="" textlink="PIVOT!C9">
      <xdr:nvSpPr>
        <xdr:cNvPr id="24" name="TextBox 23">
          <a:extLst>
            <a:ext uri="{FF2B5EF4-FFF2-40B4-BE49-F238E27FC236}">
              <a16:creationId xmlns:a16="http://schemas.microsoft.com/office/drawing/2014/main" id="{EF40FD0A-7F12-4856-A3CA-2F8D07B25FC6}"/>
            </a:ext>
          </a:extLst>
        </xdr:cNvPr>
        <xdr:cNvSpPr txBox="1"/>
      </xdr:nvSpPr>
      <xdr:spPr>
        <a:xfrm>
          <a:off x="43488426" y="17526003"/>
          <a:ext cx="7075715" cy="340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3881E3B-199D-44DD-A2FC-3C2838FCAB2F}" type="TxLink">
            <a:rPr lang="en-US" sz="23900" b="1" i="0" u="none" strike="noStrike">
              <a:solidFill>
                <a:srgbClr val="FFC000"/>
              </a:solidFill>
              <a:latin typeface="Bodoni MT Black" panose="02070A03080606020203" pitchFamily="18" charset="0"/>
              <a:ea typeface="Calibri"/>
              <a:cs typeface="Calibri"/>
            </a:rPr>
            <a:pPr algn="l"/>
            <a:t>17%</a:t>
          </a:fld>
          <a:endParaRPr lang="en-IN" sz="277800" b="1">
            <a:solidFill>
              <a:srgbClr val="FFC000"/>
            </a:solidFill>
            <a:latin typeface="Bodoni MT Black" panose="02070A03080606020203" pitchFamily="18" charset="0"/>
          </a:endParaRPr>
        </a:p>
      </xdr:txBody>
    </xdr:sp>
    <xdr:clientData/>
  </xdr:twoCellAnchor>
  <xdr:twoCellAnchor editAs="oneCell">
    <xdr:from>
      <xdr:col>167</xdr:col>
      <xdr:colOff>598711</xdr:colOff>
      <xdr:row>9</xdr:row>
      <xdr:rowOff>108857</xdr:rowOff>
    </xdr:from>
    <xdr:to>
      <xdr:col>173</xdr:col>
      <xdr:colOff>544290</xdr:colOff>
      <xdr:row>33</xdr:row>
      <xdr:rowOff>54426</xdr:rowOff>
    </xdr:to>
    <xdr:pic>
      <xdr:nvPicPr>
        <xdr:cNvPr id="25" name="Graphic 24" descr="Stethoscope with solid fill">
          <a:extLst>
            <a:ext uri="{FF2B5EF4-FFF2-40B4-BE49-F238E27FC236}">
              <a16:creationId xmlns:a16="http://schemas.microsoft.com/office/drawing/2014/main" id="{65517AC7-AA75-4469-BC85-0558D93FFE2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9673571" y="1578427"/>
          <a:ext cx="3864429" cy="3864429"/>
        </a:xfrm>
        <a:prstGeom prst="rect">
          <a:avLst/>
        </a:prstGeom>
      </xdr:spPr>
    </xdr:pic>
    <xdr:clientData/>
  </xdr:twoCellAnchor>
  <xdr:twoCellAnchor editAs="oneCell">
    <xdr:from>
      <xdr:col>5</xdr:col>
      <xdr:colOff>5</xdr:colOff>
      <xdr:row>43</xdr:row>
      <xdr:rowOff>54425</xdr:rowOff>
    </xdr:from>
    <xdr:to>
      <xdr:col>29</xdr:col>
      <xdr:colOff>272146</xdr:colOff>
      <xdr:row>120</xdr:row>
      <xdr:rowOff>54425</xdr:rowOff>
    </xdr:to>
    <mc:AlternateContent xmlns:mc="http://schemas.openxmlformats.org/markup-compatibility/2006" xmlns:a14="http://schemas.microsoft.com/office/drawing/2010/main">
      <mc:Choice Requires="a14">
        <xdr:graphicFrame macro="">
          <xdr:nvGraphicFramePr>
            <xdr:cNvPr id="31" name="Reason_for_visit 2">
              <a:extLst>
                <a:ext uri="{FF2B5EF4-FFF2-40B4-BE49-F238E27FC236}">
                  <a16:creationId xmlns:a16="http://schemas.microsoft.com/office/drawing/2014/main" id="{6E3703D0-150D-4BD9-8782-9EDAC28F89A6}"/>
                </a:ext>
              </a:extLst>
            </xdr:cNvPr>
            <xdr:cNvGraphicFramePr/>
          </xdr:nvGraphicFramePr>
          <xdr:xfrm>
            <a:off x="0" y="0"/>
            <a:ext cx="0" cy="0"/>
          </xdr:xfrm>
          <a:graphic>
            <a:graphicData uri="http://schemas.microsoft.com/office/drawing/2010/slicer">
              <sle:slicer xmlns:sle="http://schemas.microsoft.com/office/drawing/2010/slicer" name="Reason_for_visit 2"/>
            </a:graphicData>
          </a:graphic>
        </xdr:graphicFrame>
      </mc:Choice>
      <mc:Fallback xmlns="">
        <xdr:sp macro="" textlink="">
          <xdr:nvSpPr>
            <xdr:cNvPr id="0" name=""/>
            <xdr:cNvSpPr>
              <a:spLocks noTextEdit="1"/>
            </xdr:cNvSpPr>
          </xdr:nvSpPr>
          <xdr:spPr>
            <a:xfrm>
              <a:off x="3265715" y="7075715"/>
              <a:ext cx="15947572" cy="1257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150</xdr:col>
          <xdr:colOff>163285</xdr:colOff>
          <xdr:row>10</xdr:row>
          <xdr:rowOff>54427</xdr:rowOff>
        </xdr:from>
        <xdr:to>
          <xdr:col>167</xdr:col>
          <xdr:colOff>217712</xdr:colOff>
          <xdr:row>32</xdr:row>
          <xdr:rowOff>108861</xdr:rowOff>
        </xdr:to>
        <xdr:pic>
          <xdr:nvPicPr>
            <xdr:cNvPr id="48" name="Picture 47">
              <a:extLst>
                <a:ext uri="{FF2B5EF4-FFF2-40B4-BE49-F238E27FC236}">
                  <a16:creationId xmlns:a16="http://schemas.microsoft.com/office/drawing/2014/main" id="{FC707FCC-4275-4F83-881A-F389FD77FF0E}"/>
                </a:ext>
              </a:extLst>
            </xdr:cNvPr>
            <xdr:cNvPicPr>
              <a:picLocks noChangeAspect="1" noChangeArrowheads="1"/>
              <a:extLst>
                <a:ext uri="{84589F7E-364E-4C9E-8A38-B11213B215E9}">
                  <a14:cameraTool cellRange="PIVOT!$J$3" spid="_x0000_s1091"/>
                </a:ext>
              </a:extLst>
            </xdr:cNvPicPr>
          </xdr:nvPicPr>
          <xdr:blipFill>
            <a:blip xmlns:r="http://schemas.openxmlformats.org/officeDocument/2006/relationships" r:embed="rId16"/>
            <a:srcRect/>
            <a:stretch>
              <a:fillRect/>
            </a:stretch>
          </xdr:blipFill>
          <xdr:spPr bwMode="auto">
            <a:xfrm>
              <a:off x="98134715" y="1687287"/>
              <a:ext cx="11157857" cy="36467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157</xdr:col>
      <xdr:colOff>489857</xdr:colOff>
      <xdr:row>141</xdr:row>
      <xdr:rowOff>-4</xdr:rowOff>
    </xdr:from>
    <xdr:to>
      <xdr:col>201</xdr:col>
      <xdr:colOff>217718</xdr:colOff>
      <xdr:row>340</xdr:row>
      <xdr:rowOff>54432</xdr:rowOff>
    </xdr:to>
    <xdr:graphicFrame macro="">
      <xdr:nvGraphicFramePr>
        <xdr:cNvPr id="32" name="Chart 31">
          <a:extLst>
            <a:ext uri="{FF2B5EF4-FFF2-40B4-BE49-F238E27FC236}">
              <a16:creationId xmlns:a16="http://schemas.microsoft.com/office/drawing/2014/main" id="{F38790DA-FE38-4CCC-93D9-D0E5BFAE1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69</xdr:col>
      <xdr:colOff>380996</xdr:colOff>
      <xdr:row>140</xdr:row>
      <xdr:rowOff>54429</xdr:rowOff>
    </xdr:from>
    <xdr:to>
      <xdr:col>115</xdr:col>
      <xdr:colOff>163284</xdr:colOff>
      <xdr:row>254</xdr:row>
      <xdr:rowOff>1</xdr:rowOff>
    </xdr:to>
    <xdr:graphicFrame macro="">
      <xdr:nvGraphicFramePr>
        <xdr:cNvPr id="40" name="Chart 39">
          <a:extLst>
            <a:ext uri="{FF2B5EF4-FFF2-40B4-BE49-F238E27FC236}">
              <a16:creationId xmlns:a16="http://schemas.microsoft.com/office/drawing/2014/main" id="{C3105071-06C9-4F2A-90F1-9EC902C57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76</xdr:col>
      <xdr:colOff>598714</xdr:colOff>
      <xdr:row>106</xdr:row>
      <xdr:rowOff>54426</xdr:rowOff>
    </xdr:from>
    <xdr:to>
      <xdr:col>81</xdr:col>
      <xdr:colOff>217718</xdr:colOff>
      <xdr:row>127</xdr:row>
      <xdr:rowOff>108853</xdr:rowOff>
    </xdr:to>
    <xdr:sp macro="" textlink="">
      <xdr:nvSpPr>
        <xdr:cNvPr id="3" name="TextBox 2">
          <a:extLst>
            <a:ext uri="{FF2B5EF4-FFF2-40B4-BE49-F238E27FC236}">
              <a16:creationId xmlns:a16="http://schemas.microsoft.com/office/drawing/2014/main" id="{30DA9BCA-9726-BC6E-FBE6-DF515FC0E505}"/>
            </a:ext>
          </a:extLst>
        </xdr:cNvPr>
        <xdr:cNvSpPr txBox="1"/>
      </xdr:nvSpPr>
      <xdr:spPr>
        <a:xfrm>
          <a:off x="50237574" y="17362716"/>
          <a:ext cx="2884714" cy="3483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3900">
              <a:solidFill>
                <a:schemeClr val="bg1"/>
              </a:solidFill>
            </a:rPr>
            <a:t>/</a:t>
          </a:r>
          <a:endParaRPr lang="en-IN" sz="9600">
            <a:solidFill>
              <a:schemeClr val="bg1"/>
            </a:solidFill>
          </a:endParaRPr>
        </a:p>
      </xdr:txBody>
    </xdr:sp>
    <xdr:clientData/>
  </xdr:twoCellAnchor>
  <xdr:twoCellAnchor>
    <xdr:from>
      <xdr:col>80</xdr:col>
      <xdr:colOff>615580</xdr:colOff>
      <xdr:row>105</xdr:row>
      <xdr:rowOff>0</xdr:rowOff>
    </xdr:from>
    <xdr:to>
      <xdr:col>92</xdr:col>
      <xdr:colOff>217716</xdr:colOff>
      <xdr:row>126</xdr:row>
      <xdr:rowOff>1</xdr:rowOff>
    </xdr:to>
    <xdr:sp macro="" textlink="PIVOT!C10">
      <xdr:nvSpPr>
        <xdr:cNvPr id="12" name="TextBox 11">
          <a:extLst>
            <a:ext uri="{FF2B5EF4-FFF2-40B4-BE49-F238E27FC236}">
              <a16:creationId xmlns:a16="http://schemas.microsoft.com/office/drawing/2014/main" id="{F154EC1A-DBCA-D648-645D-202F3CF8D426}"/>
            </a:ext>
          </a:extLst>
        </xdr:cNvPr>
        <xdr:cNvSpPr txBox="1"/>
      </xdr:nvSpPr>
      <xdr:spPr>
        <a:xfrm>
          <a:off x="52867010" y="17145000"/>
          <a:ext cx="7439846" cy="3429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FD1329-6E47-413E-ADFC-ADD83108EE3C}" type="TxLink">
            <a:rPr lang="en-US" sz="23900" b="1" i="0" u="none" strike="noStrike">
              <a:solidFill>
                <a:srgbClr val="FFC000"/>
              </a:solidFill>
              <a:latin typeface="Bodoni MT Black" panose="02070A03080606020203" pitchFamily="18" charset="0"/>
              <a:ea typeface="Calibri"/>
              <a:cs typeface="Calibri"/>
            </a:rPr>
            <a:pPr/>
            <a:t>#REF!</a:t>
          </a:fld>
          <a:endParaRPr lang="en-US" sz="333300">
            <a:solidFill>
              <a:srgbClr val="FFC000"/>
            </a:solidFill>
            <a:latin typeface="Bodoni MT Black" panose="02070A03080606020203" pitchFamily="18" charset="0"/>
          </a:endParaRPr>
        </a:p>
      </xdr:txBody>
    </xdr:sp>
    <xdr:clientData/>
  </xdr:twoCellAnchor>
  <xdr:twoCellAnchor editAs="oneCell">
    <xdr:from>
      <xdr:col>169</xdr:col>
      <xdr:colOff>272146</xdr:colOff>
      <xdr:row>44</xdr:row>
      <xdr:rowOff>108858</xdr:rowOff>
    </xdr:from>
    <xdr:to>
      <xdr:col>200</xdr:col>
      <xdr:colOff>217716</xdr:colOff>
      <xdr:row>82</xdr:row>
      <xdr:rowOff>108855</xdr:rowOff>
    </xdr:to>
    <mc:AlternateContent xmlns:mc="http://schemas.openxmlformats.org/markup-compatibility/2006" xmlns:a14="http://schemas.microsoft.com/office/drawing/2010/main">
      <mc:Choice Requires="a14">
        <xdr:graphicFrame macro="">
          <xdr:nvGraphicFramePr>
            <xdr:cNvPr id="35" name="Treatment_type 1">
              <a:extLst>
                <a:ext uri="{FF2B5EF4-FFF2-40B4-BE49-F238E27FC236}">
                  <a16:creationId xmlns:a16="http://schemas.microsoft.com/office/drawing/2014/main" id="{75958384-8FFC-4377-8DCE-28D5CFF9B340}"/>
                </a:ext>
              </a:extLst>
            </xdr:cNvPr>
            <xdr:cNvGraphicFramePr/>
          </xdr:nvGraphicFramePr>
          <xdr:xfrm>
            <a:off x="0" y="0"/>
            <a:ext cx="0" cy="0"/>
          </xdr:xfrm>
          <a:graphic>
            <a:graphicData uri="http://schemas.microsoft.com/office/drawing/2010/slicer">
              <sle:slicer xmlns:sle="http://schemas.microsoft.com/office/drawing/2010/slicer" name="Treatment_type 1"/>
            </a:graphicData>
          </a:graphic>
        </xdr:graphicFrame>
      </mc:Choice>
      <mc:Fallback xmlns="">
        <xdr:sp macro="" textlink="">
          <xdr:nvSpPr>
            <xdr:cNvPr id="0" name=""/>
            <xdr:cNvSpPr>
              <a:spLocks noTextEdit="1"/>
            </xdr:cNvSpPr>
          </xdr:nvSpPr>
          <xdr:spPr>
            <a:xfrm>
              <a:off x="110653286" y="7293428"/>
              <a:ext cx="20193000" cy="6204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169</xdr:col>
      <xdr:colOff>163288</xdr:colOff>
      <xdr:row>84</xdr:row>
      <xdr:rowOff>54429</xdr:rowOff>
    </xdr:from>
    <xdr:to>
      <xdr:col>190</xdr:col>
      <xdr:colOff>478738</xdr:colOff>
      <xdr:row>138</xdr:row>
      <xdr:rowOff>108857</xdr:rowOff>
    </xdr:to>
    <mc:AlternateContent xmlns:mc="http://schemas.openxmlformats.org/markup-compatibility/2006" xmlns:a14="http://schemas.microsoft.com/office/drawing/2010/main">
      <mc:Choice Requires="a14">
        <xdr:graphicFrame macro="">
          <xdr:nvGraphicFramePr>
            <xdr:cNvPr id="5" name="Doctor Full Name">
              <a:extLst>
                <a:ext uri="{FF2B5EF4-FFF2-40B4-BE49-F238E27FC236}">
                  <a16:creationId xmlns:a16="http://schemas.microsoft.com/office/drawing/2014/main" id="{9BB4BF7C-B9DE-428B-954C-26F0C096899F}"/>
                </a:ext>
              </a:extLst>
            </xdr:cNvPr>
            <xdr:cNvGraphicFramePr/>
          </xdr:nvGraphicFramePr>
          <xdr:xfrm>
            <a:off x="0" y="0"/>
            <a:ext cx="0" cy="0"/>
          </xdr:xfrm>
          <a:graphic>
            <a:graphicData uri="http://schemas.microsoft.com/office/drawing/2010/slicer">
              <sle:slicer xmlns:sle="http://schemas.microsoft.com/office/drawing/2010/slicer" name="Doctor Full Name"/>
            </a:graphicData>
          </a:graphic>
        </xdr:graphicFrame>
      </mc:Choice>
      <mc:Fallback xmlns="">
        <xdr:sp macro="" textlink="">
          <xdr:nvSpPr>
            <xdr:cNvPr id="0" name=""/>
            <xdr:cNvSpPr>
              <a:spLocks noTextEdit="1"/>
            </xdr:cNvSpPr>
          </xdr:nvSpPr>
          <xdr:spPr>
            <a:xfrm>
              <a:off x="110544428" y="13770429"/>
              <a:ext cx="14031450" cy="8871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489852</xdr:colOff>
      <xdr:row>47</xdr:row>
      <xdr:rowOff>-1</xdr:rowOff>
    </xdr:from>
    <xdr:to>
      <xdr:col>95</xdr:col>
      <xdr:colOff>489859</xdr:colOff>
      <xdr:row>71</xdr:row>
      <xdr:rowOff>103410</xdr:rowOff>
    </xdr:to>
    <mc:AlternateContent xmlns:mc="http://schemas.openxmlformats.org/markup-compatibility/2006" xmlns:tsle="http://schemas.microsoft.com/office/drawing/2012/timeslicer">
      <mc:Choice Requires="tsle">
        <xdr:graphicFrame macro="">
          <xdr:nvGraphicFramePr>
            <xdr:cNvPr id="45" name="Bill_date 2">
              <a:extLst>
                <a:ext uri="{FF2B5EF4-FFF2-40B4-BE49-F238E27FC236}">
                  <a16:creationId xmlns:a16="http://schemas.microsoft.com/office/drawing/2014/main" id="{4E0F30EB-919B-4833-AAB9-CA1B0AF010DB}"/>
                </a:ext>
              </a:extLst>
            </xdr:cNvPr>
            <xdr:cNvGraphicFramePr/>
          </xdr:nvGraphicFramePr>
          <xdr:xfrm>
            <a:off x="0" y="0"/>
            <a:ext cx="0" cy="0"/>
          </xdr:xfrm>
          <a:graphic>
            <a:graphicData uri="http://schemas.microsoft.com/office/drawing/2012/timeslicer">
              <tsle:timeslicer name="Bill_date 2"/>
            </a:graphicData>
          </a:graphic>
        </xdr:graphicFrame>
      </mc:Choice>
      <mc:Fallback xmlns="">
        <xdr:sp macro="" textlink="">
          <xdr:nvSpPr>
            <xdr:cNvPr id="0" name=""/>
            <xdr:cNvSpPr>
              <a:spLocks noTextEdit="1"/>
            </xdr:cNvSpPr>
          </xdr:nvSpPr>
          <xdr:spPr>
            <a:xfrm>
              <a:off x="20084142" y="7674429"/>
              <a:ext cx="42454287" cy="40222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0.28701</cdr:x>
      <cdr:y>0.40893</cdr:y>
    </cdr:from>
    <cdr:to>
      <cdr:x>0.49562</cdr:x>
      <cdr:y>0.68968</cdr:y>
    </cdr:to>
    <cdr:sp macro="" textlink="">
      <cdr:nvSpPr>
        <cdr:cNvPr id="2" name="Oval 1">
          <a:extLst xmlns:a="http://schemas.openxmlformats.org/drawingml/2006/main">
            <a:ext uri="{FF2B5EF4-FFF2-40B4-BE49-F238E27FC236}">
              <a16:creationId xmlns:a16="http://schemas.microsoft.com/office/drawing/2014/main" id="{8BC5F0CD-7238-EBED-6B77-678377E9F235}"/>
            </a:ext>
          </a:extLst>
        </cdr:cNvPr>
        <cdr:cNvSpPr/>
      </cdr:nvSpPr>
      <cdr:spPr>
        <a:xfrm xmlns:a="http://schemas.openxmlformats.org/drawingml/2006/main">
          <a:off x="6967285" y="7767822"/>
          <a:ext cx="5064037" cy="5333007"/>
        </a:xfrm>
        <a:prstGeom xmlns:a="http://schemas.openxmlformats.org/drawingml/2006/main" prst="ellipse">
          <a:avLst/>
        </a:prstGeom>
        <a:solidFill xmlns:a="http://schemas.openxmlformats.org/drawingml/2006/main">
          <a:schemeClr val="accent1">
            <a:lumMod val="50000"/>
          </a:schemeClr>
        </a:solidFill>
        <a:ln xmlns:a="http://schemas.openxmlformats.org/drawingml/2006/main">
          <a:solidFill>
            <a:schemeClr val="accent1">
              <a:lumMod val="50000"/>
            </a:schemeClr>
          </a:solidFill>
        </a:ln>
        <a:effectLst xmlns:a="http://schemas.openxmlformats.org/drawingml/2006/main">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7200" b="1" kern="1200"/>
            <a:t>200 Total</a:t>
          </a:r>
          <a:r>
            <a:rPr lang="en-IN" sz="1600" kern="1200"/>
            <a:t> </a:t>
          </a:r>
        </a:p>
      </cdr:txBody>
    </cdr:sp>
  </cdr:relSizeAnchor>
</c:userShapes>
</file>

<file path=xl/drawings/drawing9.xml><?xml version="1.0" encoding="utf-8"?>
<xdr:wsDr xmlns:xdr="http://schemas.openxmlformats.org/drawingml/2006/spreadsheetDrawing" xmlns:a="http://schemas.openxmlformats.org/drawingml/2006/main">
  <xdr:twoCellAnchor>
    <xdr:from>
      <xdr:col>4</xdr:col>
      <xdr:colOff>489244</xdr:colOff>
      <xdr:row>0</xdr:row>
      <xdr:rowOff>177351</xdr:rowOff>
    </xdr:from>
    <xdr:to>
      <xdr:col>5</xdr:col>
      <xdr:colOff>3369680</xdr:colOff>
      <xdr:row>5</xdr:row>
      <xdr:rowOff>36693</xdr:rowOff>
    </xdr:to>
    <xdr:sp macro="" textlink="">
      <xdr:nvSpPr>
        <xdr:cNvPr id="2" name="Rectangle: Rounded Corners 1">
          <a:extLst>
            <a:ext uri="{FF2B5EF4-FFF2-40B4-BE49-F238E27FC236}">
              <a16:creationId xmlns:a16="http://schemas.microsoft.com/office/drawing/2014/main" id="{B5E07D3B-DE66-41CB-9FE3-6544D1270FAB}"/>
            </a:ext>
          </a:extLst>
        </xdr:cNvPr>
        <xdr:cNvSpPr/>
      </xdr:nvSpPr>
      <xdr:spPr>
        <a:xfrm>
          <a:off x="3926195" y="177351"/>
          <a:ext cx="6188958" cy="776678"/>
        </a:xfrm>
        <a:prstGeom prst="roundRect">
          <a:avLst/>
        </a:prstGeom>
        <a:ln>
          <a:noFill/>
        </a:ln>
        <a:effectLst>
          <a:innerShdw blurRad="114300">
            <a:prstClr val="black"/>
          </a:inn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IN" sz="2800">
              <a:solidFill>
                <a:schemeClr val="accent1">
                  <a:lumMod val="50000"/>
                </a:schemeClr>
              </a:solidFill>
              <a:latin typeface="Algerian" panose="04020705040A02060702" pitchFamily="82" charset="0"/>
            </a:rPr>
            <a:t>insights &amp;</a:t>
          </a:r>
          <a:r>
            <a:rPr lang="en-IN" sz="2800" baseline="0">
              <a:solidFill>
                <a:schemeClr val="accent1">
                  <a:lumMod val="50000"/>
                </a:schemeClr>
              </a:solidFill>
              <a:latin typeface="Algerian" panose="04020705040A02060702" pitchFamily="82" charset="0"/>
            </a:rPr>
            <a:t> recommendations</a:t>
          </a:r>
          <a:endParaRPr lang="en-IN" sz="1100">
            <a:solidFill>
              <a:schemeClr val="accent1">
                <a:lumMod val="50000"/>
              </a:schemeClr>
            </a:solidFill>
            <a:latin typeface="Algerian" panose="04020705040A02060702" pitchFamily="82" charset="0"/>
          </a:endParaRPr>
        </a:p>
      </xdr:txBody>
    </xdr:sp>
    <xdr:clientData/>
  </xdr:twoCellAnchor>
  <xdr:twoCellAnchor editAs="oneCell">
    <xdr:from>
      <xdr:col>4</xdr:col>
      <xdr:colOff>568748</xdr:colOff>
      <xdr:row>2</xdr:row>
      <xdr:rowOff>36693</xdr:rowOff>
    </xdr:from>
    <xdr:to>
      <xdr:col>4</xdr:col>
      <xdr:colOff>941798</xdr:colOff>
      <xdr:row>4</xdr:row>
      <xdr:rowOff>42808</xdr:rowOff>
    </xdr:to>
    <xdr:pic>
      <xdr:nvPicPr>
        <xdr:cNvPr id="4" name="Graphic 3" descr="Lightbulb with solid fill">
          <a:extLst>
            <a:ext uri="{FF2B5EF4-FFF2-40B4-BE49-F238E27FC236}">
              <a16:creationId xmlns:a16="http://schemas.microsoft.com/office/drawing/2014/main" id="{A2E47731-D7A6-7A85-7AB1-A10702B770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05699" y="403627"/>
          <a:ext cx="373050" cy="373050"/>
        </a:xfrm>
        <a:prstGeom prst="rect">
          <a:avLst/>
        </a:prstGeom>
      </xdr:spPr>
    </xdr:pic>
    <xdr:clientData/>
  </xdr:twoCellAnchor>
  <xdr:twoCellAnchor editAs="oneCell">
    <xdr:from>
      <xdr:col>5</xdr:col>
      <xdr:colOff>2923244</xdr:colOff>
      <xdr:row>2</xdr:row>
      <xdr:rowOff>30580</xdr:rowOff>
    </xdr:from>
    <xdr:to>
      <xdr:col>5</xdr:col>
      <xdr:colOff>3284080</xdr:colOff>
      <xdr:row>4</xdr:row>
      <xdr:rowOff>42808</xdr:rowOff>
    </xdr:to>
    <xdr:pic>
      <xdr:nvPicPr>
        <xdr:cNvPr id="6" name="Graphic 5" descr="Bullseye with solid fill">
          <a:extLst>
            <a:ext uri="{FF2B5EF4-FFF2-40B4-BE49-F238E27FC236}">
              <a16:creationId xmlns:a16="http://schemas.microsoft.com/office/drawing/2014/main" id="{D31FB1D9-D5EB-2731-A91E-335C471888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68717" y="397514"/>
          <a:ext cx="360836" cy="3791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na V" refreshedDate="46275.984794444441" createdVersion="8" refreshedVersion="8" minRefreshableVersion="3" recordCount="200" xr:uid="{B3403569-AE79-4392-B783-94E08E0E5516}">
  <cacheSource type="worksheet">
    <worksheetSource name="appointments7"/>
  </cacheSource>
  <cacheFields count="36">
    <cacheField name="Appointment_id" numFmtId="0">
      <sharedItems/>
    </cacheField>
    <cacheField name="Patient_id" numFmtId="0">
      <sharedItems/>
    </cacheField>
    <cacheField name="Patient Full Name" numFmtId="0">
      <sharedItems/>
    </cacheField>
    <cacheField name="Gender" numFmtId="0">
      <sharedItems count="2">
        <s v="F"/>
        <s v="M"/>
      </sharedItems>
    </cacheField>
    <cacheField name="Date_of_birth" numFmtId="14">
      <sharedItems containsSemiMixedTypes="0" containsNonDate="0" containsDate="1" containsString="0" minDate="1950-01-26T00:00:00" maxDate="2005-05-16T00:00:00"/>
    </cacheField>
    <cacheField name="Contact_number" numFmtId="0">
      <sharedItems containsSemiMixedTypes="0" containsString="0" containsNumber="1" containsInteger="1" minValue="6141951830" maxValue="9900972256"/>
    </cacheField>
    <cacheField name="Address" numFmtId="0">
      <sharedItems/>
    </cacheField>
    <cacheField name="Registration_date" numFmtId="14">
      <sharedItems containsSemiMixedTypes="0" containsNonDate="0" containsDate="1" containsString="0" minDate="2021-01-23T00:00:00" maxDate="2023-12-13T00:00:00"/>
    </cacheField>
    <cacheField name="Insurance_provider" numFmtId="0">
      <sharedItems count="4">
        <s v="WellnessCorp"/>
        <s v="MedCare Plus"/>
        <s v="PulseSecure"/>
        <s v="HealthIndia"/>
      </sharedItems>
    </cacheField>
    <cacheField name="Insurance_number" numFmtId="0">
      <sharedItems/>
    </cacheField>
    <cacheField name="Patient Email" numFmtId="0">
      <sharedItems/>
    </cacheField>
    <cacheField name="Doctor_id" numFmtId="0">
      <sharedItems/>
    </cacheField>
    <cacheField name="Doctor Full Name" numFmtId="0">
      <sharedItems count="10">
        <s v="Sarah Smith"/>
        <s v="David Jones"/>
        <s v="Alex Davis"/>
        <s v="Jane Smith"/>
        <s v="Robert Davis"/>
        <s v="Linda Wilson"/>
        <s v="Jane Davis"/>
        <s v="Linda Brown"/>
        <s v="David Taylor"/>
        <s v="Sarah Taylor"/>
      </sharedItems>
    </cacheField>
    <cacheField name="Specialization" numFmtId="0">
      <sharedItems count="3">
        <s v="Pediatrics"/>
        <s v="Oncology"/>
        <s v="Dermatology"/>
      </sharedItems>
    </cacheField>
    <cacheField name="Phone_number" numFmtId="0">
      <sharedItems containsSemiMixedTypes="0" containsString="0" containsNumber="1" containsInteger="1" minValue="6176383634" maxValue="9118538547"/>
    </cacheField>
    <cacheField name="Years_experience" numFmtId="0">
      <sharedItems containsSemiMixedTypes="0" containsString="0" containsNumber="1" containsInteger="1" minValue="5" maxValue="28"/>
    </cacheField>
    <cacheField name="Hospital_branch" numFmtId="0">
      <sharedItems count="3">
        <s v="Central Hospital"/>
        <s v="Eastside Clinic"/>
        <s v="Westside Clinic"/>
      </sharedItems>
    </cacheField>
    <cacheField name="Doctor Email" numFmtId="0">
      <sharedItems/>
    </cacheField>
    <cacheField name="Appointment_date" numFmtId="14">
      <sharedItems containsSemiMixedTypes="0" containsNonDate="0" containsDate="1" containsString="0" minDate="2023-01-01T00:00:00" maxDate="2023-12-31T00:00:00" count="158">
        <d v="2023-08-09T00:00:00"/>
        <d v="2023-06-09T00:00:00"/>
        <d v="2023-06-28T00:00:00"/>
        <d v="2023-09-01T00:00:00"/>
        <d v="2023-07-06T00:00:00"/>
        <d v="2023-06-19T00:00:00"/>
        <d v="2023-04-09T00:00:00"/>
        <d v="2023-05-24T00:00:00"/>
        <d v="2023-03-05T00:00:00"/>
        <d v="2023-01-13T00:00:00"/>
        <d v="2023-11-12T00:00:00"/>
        <d v="2023-05-07T00:00:00"/>
        <d v="2023-08-16T00:00:00"/>
        <d v="2023-05-25T00:00:00"/>
        <d v="2023-01-15T00:00:00"/>
        <d v="2023-06-30T00:00:00"/>
        <d v="2023-07-11T00:00:00"/>
        <d v="2023-11-14T00:00:00"/>
        <d v="2023-02-06T00:00:00"/>
        <d v="2023-12-05T00:00:00"/>
        <d v="2023-04-24T00:00:00"/>
        <d v="2023-05-09T00:00:00"/>
        <d v="2023-06-21T00:00:00"/>
        <d v="2023-02-25T00:00:00"/>
        <d v="2023-03-17T00:00:00"/>
        <d v="2023-10-29T00:00:00"/>
        <d v="2023-06-25T00:00:00"/>
        <d v="2023-08-29T00:00:00"/>
        <d v="2023-04-04T00:00:00"/>
        <d v="2023-11-06T00:00:00"/>
        <d v="2023-09-23T00:00:00"/>
        <d v="2023-06-13T00:00:00"/>
        <d v="2023-04-18T00:00:00"/>
        <d v="2023-01-08T00:00:00"/>
        <d v="2023-03-28T00:00:00"/>
        <d v="2023-02-23T00:00:00"/>
        <d v="2023-04-17T00:00:00"/>
        <d v="2023-03-27T00:00:00"/>
        <d v="2023-01-01T00:00:00"/>
        <d v="2023-03-21T00:00:00"/>
        <d v="2023-03-29T00:00:00"/>
        <d v="2023-09-20T00:00:00"/>
        <d v="2023-09-28T00:00:00"/>
        <d v="2023-12-20T00:00:00"/>
        <d v="2023-05-02T00:00:00"/>
        <d v="2023-01-16T00:00:00"/>
        <d v="2023-04-30T00:00:00"/>
        <d v="2023-02-04T00:00:00"/>
        <d v="2023-07-12T00:00:00"/>
        <d v="2023-02-12T00:00:00"/>
        <d v="2023-12-16T00:00:00"/>
        <d v="2023-10-06T00:00:00"/>
        <d v="2023-01-02T00:00:00"/>
        <d v="2023-04-15T00:00:00"/>
        <d v="2023-03-09T00:00:00"/>
        <d v="2023-11-22T00:00:00"/>
        <d v="2023-06-14T00:00:00"/>
        <d v="2023-06-29T00:00:00"/>
        <d v="2023-05-31T00:00:00"/>
        <d v="2023-05-10T00:00:00"/>
        <d v="2023-08-10T00:00:00"/>
        <d v="2023-03-14T00:00:00"/>
        <d v="2023-08-26T00:00:00"/>
        <d v="2023-01-26T00:00:00"/>
        <d v="2023-06-12T00:00:00"/>
        <d v="2023-12-24T00:00:00"/>
        <d v="2023-07-23T00:00:00"/>
        <d v="2023-05-08T00:00:00"/>
        <d v="2023-11-27T00:00:00"/>
        <d v="2023-12-14T00:00:00"/>
        <d v="2023-09-17T00:00:00"/>
        <d v="2023-12-26T00:00:00"/>
        <d v="2023-06-26T00:00:00"/>
        <d v="2023-01-06T00:00:00"/>
        <d v="2023-01-20T00:00:00"/>
        <d v="2023-11-07T00:00:00"/>
        <d v="2023-02-18T00:00:00"/>
        <d v="2023-10-19T00:00:00"/>
        <d v="2023-02-14T00:00:00"/>
        <d v="2023-06-01T00:00:00"/>
        <d v="2023-06-11T00:00:00"/>
        <d v="2023-01-30T00:00:00"/>
        <d v="2023-04-08T00:00:00"/>
        <d v="2023-07-07T00:00:00"/>
        <d v="2023-05-06T00:00:00"/>
        <d v="2023-07-04T00:00:00"/>
        <d v="2023-03-02T00:00:00"/>
        <d v="2023-09-21T00:00:00"/>
        <d v="2023-10-25T00:00:00"/>
        <d v="2023-01-24T00:00:00"/>
        <d v="2023-08-14T00:00:00"/>
        <d v="2023-04-21T00:00:00"/>
        <d v="2023-07-29T00:00:00"/>
        <d v="2023-07-19T00:00:00"/>
        <d v="2023-05-22T00:00:00"/>
        <d v="2023-01-11T00:00:00"/>
        <d v="2023-11-24T00:00:00"/>
        <d v="2023-08-08T00:00:00"/>
        <d v="2023-06-20T00:00:00"/>
        <d v="2023-12-18T00:00:00"/>
        <d v="2023-12-08T00:00:00"/>
        <d v="2023-04-07T00:00:00"/>
        <d v="2023-02-28T00:00:00"/>
        <d v="2023-03-16T00:00:00"/>
        <d v="2023-11-02T00:00:00"/>
        <d v="2023-11-13T00:00:00"/>
        <d v="2023-08-25T00:00:00"/>
        <d v="2023-05-11T00:00:00"/>
        <d v="2023-07-26T00:00:00"/>
        <d v="2023-03-23T00:00:00"/>
        <d v="2023-10-17T00:00:00"/>
        <d v="2023-09-09T00:00:00"/>
        <d v="2023-05-13T00:00:00"/>
        <d v="2023-10-10T00:00:00"/>
        <d v="2023-02-05T00:00:00"/>
        <d v="2023-06-15T00:00:00"/>
        <d v="2023-11-01T00:00:00"/>
        <d v="2023-11-11T00:00:00"/>
        <d v="2023-01-05T00:00:00"/>
        <d v="2023-12-06T00:00:00"/>
        <d v="2023-01-28T00:00:00"/>
        <d v="2023-04-14T00:00:00"/>
        <d v="2023-07-08T00:00:00"/>
        <d v="2023-03-06T00:00:00"/>
        <d v="2023-01-03T00:00:00"/>
        <d v="2023-05-12T00:00:00"/>
        <d v="2023-12-17T00:00:00"/>
        <d v="2023-06-17T00:00:00"/>
        <d v="2023-06-27T00:00:00"/>
        <d v="2023-07-28T00:00:00"/>
        <d v="2023-01-12T00:00:00"/>
        <d v="2023-11-15T00:00:00"/>
        <d v="2023-09-29T00:00:00"/>
        <d v="2023-07-24T00:00:00"/>
        <d v="2023-03-03T00:00:00"/>
        <d v="2023-06-04T00:00:00"/>
        <d v="2023-10-31T00:00:00"/>
        <d v="2023-10-22T00:00:00"/>
        <d v="2023-04-26T00:00:00"/>
        <d v="2023-01-17T00:00:00"/>
        <d v="2023-03-08T00:00:00"/>
        <d v="2023-01-07T00:00:00"/>
        <d v="2023-09-03T00:00:00"/>
        <d v="2023-04-12T00:00:00"/>
        <d v="2023-02-03T00:00:00"/>
        <d v="2023-02-26T00:00:00"/>
        <d v="2023-02-13T00:00:00"/>
        <d v="2023-10-05T00:00:00"/>
        <d v="2023-11-16T00:00:00"/>
        <d v="2023-08-31T00:00:00"/>
        <d v="2023-09-15T00:00:00"/>
        <d v="2023-04-06T00:00:00"/>
        <d v="2023-08-19T00:00:00"/>
        <d v="2023-10-26T00:00:00"/>
        <d v="2023-04-01T00:00:00"/>
        <d v="2023-05-15T00:00:00"/>
        <d v="2023-05-01T00:00:00"/>
        <d v="2023-12-30T00:00:00"/>
      </sharedItems>
    </cacheField>
    <cacheField name="Appointment_time" numFmtId="165">
      <sharedItems containsSemiMixedTypes="0" containsNonDate="0" containsDate="1" containsString="0" minDate="1899-12-30T08:00:00" maxDate="1899-12-30T17:45:00" count="40">
        <d v="1899-12-30T15:15:00"/>
        <d v="1899-12-30T14:30:00"/>
        <d v="1899-12-30T08:00:00"/>
        <d v="1899-12-30T09:15:00"/>
        <d v="1899-12-30T12:45:00"/>
        <d v="1899-12-30T16:15:00"/>
        <d v="1899-12-30T10:30:00"/>
        <d v="1899-12-30T08:45:00"/>
        <d v="1899-12-30T13:45:00"/>
        <d v="1899-12-30T15:30:00"/>
        <d v="1899-12-30T16:00:00"/>
        <d v="1899-12-30T10:00:00"/>
        <d v="1899-12-30T12:00:00"/>
        <d v="1899-12-30T17:15:00"/>
        <d v="1899-12-30T11:00:00"/>
        <d v="1899-12-30T17:00:00"/>
        <d v="1899-12-30T09:45:00"/>
        <d v="1899-12-30T13:00:00"/>
        <d v="1899-12-30T14:15:00"/>
        <d v="1899-12-30T13:15:00"/>
        <d v="1899-12-30T10:45:00"/>
        <d v="1899-12-30T17:45:00"/>
        <d v="1899-12-30T11:30:00"/>
        <d v="1899-12-30T12:30:00"/>
        <d v="1899-12-30T14:00:00"/>
        <d v="1899-12-30T11:15:00"/>
        <d v="1899-12-30T15:45:00"/>
        <d v="1899-12-30T15:00:00"/>
        <d v="1899-12-30T11:45:00"/>
        <d v="1899-12-30T09:30:00"/>
        <d v="1899-12-30T17:30:00"/>
        <d v="1899-12-30T09:00:00"/>
        <d v="1899-12-30T08:30:00"/>
        <d v="1899-12-30T13:30:00"/>
        <d v="1899-12-30T12:15:00"/>
        <d v="1899-12-30T16:30:00"/>
        <d v="1899-12-30T10:15:00"/>
        <d v="1899-12-30T14:45:00"/>
        <d v="1899-12-30T08:15:00"/>
        <d v="1899-12-30T16:45:00"/>
      </sharedItems>
      <fieldGroup par="35"/>
    </cacheField>
    <cacheField name="Reason_for_visit" numFmtId="0">
      <sharedItems count="5">
        <s v="Therapy"/>
        <s v="Consultation"/>
        <s v="Emergency"/>
        <s v="Checkup"/>
        <s v="Follow-up"/>
      </sharedItems>
    </cacheField>
    <cacheField name="Status" numFmtId="0">
      <sharedItems count="4">
        <s v="Scheduled"/>
        <s v="No-show"/>
        <s v="Cancelled"/>
        <s v="Completed"/>
      </sharedItems>
    </cacheField>
    <cacheField name="Treatment_id" numFmtId="0">
      <sharedItems/>
    </cacheField>
    <cacheField name="Treatment_type" numFmtId="0">
      <sharedItems count="5">
        <s v="Chemotherapy"/>
        <s v="MRI"/>
        <s v="ECG"/>
        <s v="Physiotherapy"/>
        <s v="X-Ray"/>
      </sharedItems>
    </cacheField>
    <cacheField name="Description" numFmtId="0">
      <sharedItems/>
    </cacheField>
    <cacheField name="Cost" numFmtId="164">
      <sharedItems containsSemiMixedTypes="0" containsString="0" containsNumber="1" minValue="534.03" maxValue="4973.63"/>
    </cacheField>
    <cacheField name="Treatment_date" numFmtId="14">
      <sharedItems containsSemiMixedTypes="0" containsNonDate="0" containsDate="1" containsString="0" minDate="2023-01-01T00:00:00" maxDate="2023-12-31T00:00:00"/>
    </cacheField>
    <cacheField name="Bill_id" numFmtId="14">
      <sharedItems/>
    </cacheField>
    <cacheField name="Bill_date" numFmtId="14">
      <sharedItems containsSemiMixedTypes="0" containsNonDate="0" containsDate="1" containsString="0" minDate="2023-01-01T00:00:00" maxDate="2023-12-21T00:00:00" count="46">
        <d v="2023-08-09T00:00:00"/>
        <d v="2023-06-09T00:00:00"/>
        <d v="2023-06-28T00:00:00"/>
        <d v="2023-09-01T00:00:00"/>
        <d v="2023-07-06T00:00:00"/>
        <d v="2023-06-19T00:00:00"/>
        <d v="2023-04-09T00:00:00"/>
        <d v="2023-05-24T00:00:00"/>
        <d v="2023-03-05T00:00:00"/>
        <d v="2023-01-13T00:00:00"/>
        <d v="2023-11-12T00:00:00"/>
        <d v="2023-05-07T00:00:00"/>
        <d v="2023-08-16T00:00:00"/>
        <d v="2023-05-25T00:00:00"/>
        <d v="2023-01-15T00:00:00"/>
        <d v="2023-07-11T00:00:00"/>
        <d v="2023-12-05T00:00:00"/>
        <d v="2023-04-24T00:00:00"/>
        <d v="2023-05-09T00:00:00"/>
        <d v="2023-06-21T00:00:00"/>
        <d v="2023-02-25T00:00:00"/>
        <d v="2023-03-17T00:00:00"/>
        <d v="2023-09-23T00:00:00"/>
        <d v="2023-04-18T00:00:00"/>
        <d v="2023-01-08T00:00:00"/>
        <d v="2023-04-17T00:00:00"/>
        <d v="2023-03-27T00:00:00"/>
        <d v="2023-09-20T00:00:00"/>
        <d v="2023-12-20T00:00:00"/>
        <d v="2023-02-04T00:00:00"/>
        <d v="2023-02-12T00:00:00"/>
        <d v="2023-10-06T00:00:00"/>
        <d v="2023-03-09T00:00:00"/>
        <d v="2023-11-22T00:00:00"/>
        <d v="2023-06-29T00:00:00"/>
        <d v="2023-05-31T00:00:00"/>
        <d v="2023-08-10T00:00:00"/>
        <d v="2023-11-27T00:00:00"/>
        <d v="2023-09-17T00:00:00"/>
        <d v="2023-10-29T00:00:00"/>
        <d v="2023-05-02T00:00:00"/>
        <d v="2023-04-08T00:00:00"/>
        <d v="2023-07-04T00:00:00"/>
        <d v="2023-08-08T00:00:00"/>
        <d v="2023-01-01T00:00:00"/>
        <d v="2023-03-08T00:00:00"/>
      </sharedItems>
      <fieldGroup par="33"/>
    </cacheField>
    <cacheField name="Amount" numFmtId="164">
      <sharedItems containsSemiMixedTypes="0" containsString="0" containsNumber="1" minValue="534.03" maxValue="4945.03"/>
    </cacheField>
    <cacheField name="Payment_method" numFmtId="164">
      <sharedItems count="3">
        <s v="Insurance"/>
        <s v="Credit Card"/>
        <s v="Cash"/>
      </sharedItems>
    </cacheField>
    <cacheField name="Payment_status" numFmtId="14">
      <sharedItems count="3">
        <s v="Pending"/>
        <s v="Paid"/>
        <s v="Failed"/>
      </sharedItems>
    </cacheField>
    <cacheField name="Days (Bill_date)" numFmtId="0" databaseField="0">
      <fieldGroup base="28">
        <rangePr groupBy="days" startDate="2023-01-01T00:00:00" endDate="2023-12-2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2-2023"/>
        </groupItems>
      </fieldGroup>
    </cacheField>
    <cacheField name="Months (Bill_date)" numFmtId="0" databaseField="0">
      <fieldGroup base="28">
        <rangePr groupBy="months" startDate="2023-01-01T00:00:00" endDate="2023-12-21T00:00:00"/>
        <groupItems count="14">
          <s v="&lt;01-01-2023"/>
          <s v="Jan"/>
          <s v="Feb"/>
          <s v="Mar"/>
          <s v="Apr"/>
          <s v="May"/>
          <s v="Jun"/>
          <s v="Jul"/>
          <s v="Aug"/>
          <s v="Sep"/>
          <s v="Oct"/>
          <s v="Nov"/>
          <s v="Dec"/>
          <s v="&gt;21-12-2023"/>
        </groupItems>
      </fieldGroup>
    </cacheField>
    <cacheField name="Minutes (Appointment_time)" numFmtId="0" databaseField="0">
      <fieldGroup base="19">
        <rangePr groupBy="minutes" startDate="1899-12-30T08:00:00" endDate="1899-12-30T17:45: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Appointment_time)" numFmtId="0" databaseField="0">
      <fieldGroup base="19">
        <rangePr groupBy="hours" startDate="1899-12-30T08:00:00" endDate="1899-12-30T17:45: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905959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001"/>
    <s v="P034"/>
    <s v="Alex Smith"/>
    <x v="0"/>
    <d v="1950-01-26T00:00:00"/>
    <n v="8374657733"/>
    <s v="321 Maple Dr"/>
    <d v="2023-06-18T00:00:00"/>
    <x v="0"/>
    <s v="INS653880"/>
    <s v="alex.smith@mail.com"/>
    <s v="D009"/>
    <x v="0"/>
    <x v="0"/>
    <n v="7387087517"/>
    <n v="26"/>
    <x v="0"/>
    <s v="dr.sarah.smith@hospital.com"/>
    <x v="0"/>
    <x v="0"/>
    <x v="0"/>
    <x v="0"/>
    <s v="T001"/>
    <x v="0"/>
    <s v="Basic screening"/>
    <n v="3941.97"/>
    <d v="2023-08-09T00:00:00"/>
    <s v="B001"/>
    <x v="0"/>
    <n v="3941.97"/>
    <x v="0"/>
    <x v="0"/>
  </r>
  <r>
    <s v="A002"/>
    <s v="P032"/>
    <s v="Alex Moore"/>
    <x v="1"/>
    <d v="1981-01-08T00:00:00"/>
    <n v="8102183595"/>
    <s v="123 Elm St"/>
    <d v="2021-10-02T00:00:00"/>
    <x v="1"/>
    <s v="INS335362"/>
    <s v="alex.moore@mail.com"/>
    <s v="D004"/>
    <x v="1"/>
    <x v="0"/>
    <n v="6594221991"/>
    <n v="28"/>
    <x v="0"/>
    <s v="dr.david.jones@hospital.com"/>
    <x v="1"/>
    <x v="1"/>
    <x v="0"/>
    <x v="1"/>
    <s v="T002"/>
    <x v="1"/>
    <s v="Advanced protocol"/>
    <n v="4158.4399999999996"/>
    <d v="2023-06-09T00:00:00"/>
    <s v="B002"/>
    <x v="1"/>
    <n v="4158.4399999999996"/>
    <x v="0"/>
    <x v="1"/>
  </r>
  <r>
    <s v="A003"/>
    <s v="P048"/>
    <s v="Emily Miller"/>
    <x v="1"/>
    <d v="1983-03-24T00:00:00"/>
    <n v="8720989381"/>
    <s v="123 Elm St"/>
    <d v="2023-06-19T00:00:00"/>
    <x v="2"/>
    <s v="INS694319"/>
    <s v="emily.miller@mail.com"/>
    <s v="D004"/>
    <x v="1"/>
    <x v="0"/>
    <n v="6594221991"/>
    <n v="28"/>
    <x v="0"/>
    <s v="dr.david.jones@hospital.com"/>
    <x v="2"/>
    <x v="2"/>
    <x v="1"/>
    <x v="2"/>
    <s v="T003"/>
    <x v="1"/>
    <s v="Standard procedure"/>
    <n v="3731.55"/>
    <d v="2023-06-28T00:00:00"/>
    <s v="B003"/>
    <x v="2"/>
    <n v="3731.55"/>
    <x v="0"/>
    <x v="1"/>
  </r>
  <r>
    <s v="A004"/>
    <s v="P025"/>
    <s v="Robert Wilson"/>
    <x v="1"/>
    <d v="1966-08-14T00:00:00"/>
    <n v="7482069727"/>
    <s v="123 Elm St"/>
    <d v="2021-09-09T00:00:00"/>
    <x v="3"/>
    <s v="INS833429"/>
    <s v="robert.wilson@mail.com"/>
    <s v="D006"/>
    <x v="2"/>
    <x v="0"/>
    <n v="6570137231"/>
    <n v="23"/>
    <x v="0"/>
    <s v="dr.alex.davis@hospital.com"/>
    <x v="3"/>
    <x v="3"/>
    <x v="1"/>
    <x v="2"/>
    <s v="T004"/>
    <x v="1"/>
    <s v="Basic screening"/>
    <n v="4799.8599999999997"/>
    <d v="2023-09-01T00:00:00"/>
    <s v="B004"/>
    <x v="3"/>
    <n v="4799.8599999999997"/>
    <x v="0"/>
    <x v="2"/>
  </r>
  <r>
    <s v="A005"/>
    <s v="P040"/>
    <s v="Emily Williams"/>
    <x v="1"/>
    <d v="1972-05-30T00:00:00"/>
    <n v="7587653815"/>
    <s v="456 Oak Ave"/>
    <d v="2021-10-16T00:00:00"/>
    <x v="2"/>
    <s v="INS320984"/>
    <s v="emily.williams@mail.com"/>
    <s v="D003"/>
    <x v="3"/>
    <x v="0"/>
    <n v="8737740598"/>
    <n v="19"/>
    <x v="1"/>
    <s v="dr.jane.smith@hospital.com"/>
    <x v="4"/>
    <x v="4"/>
    <x v="2"/>
    <x v="1"/>
    <s v="T005"/>
    <x v="2"/>
    <s v="Standard procedure"/>
    <n v="582.04999999999995"/>
    <d v="2023-07-06T00:00:00"/>
    <s v="B005"/>
    <x v="4"/>
    <n v="582.04999999999995"/>
    <x v="1"/>
    <x v="0"/>
  </r>
  <r>
    <s v="A006"/>
    <s v="P045"/>
    <s v="Linda Miller"/>
    <x v="0"/>
    <d v="1966-04-25T00:00:00"/>
    <n v="7579616535"/>
    <s v="321 Maple Dr"/>
    <d v="2021-01-23T00:00:00"/>
    <x v="1"/>
    <s v="INS701863"/>
    <s v="linda.miller@mail.com"/>
    <s v="D006"/>
    <x v="2"/>
    <x v="0"/>
    <n v="6570137231"/>
    <n v="23"/>
    <x v="0"/>
    <s v="dr.alex.davis@hospital.com"/>
    <x v="5"/>
    <x v="5"/>
    <x v="3"/>
    <x v="0"/>
    <s v="T006"/>
    <x v="0"/>
    <s v="Standard procedure"/>
    <n v="1381"/>
    <d v="2023-06-19T00:00:00"/>
    <s v="B006"/>
    <x v="5"/>
    <n v="1381"/>
    <x v="0"/>
    <x v="0"/>
  </r>
  <r>
    <s v="A007"/>
    <s v="P001"/>
    <s v="David Williams"/>
    <x v="0"/>
    <d v="1955-06-04T00:00:00"/>
    <n v="6939585183"/>
    <s v="789 Pine Rd"/>
    <d v="2022-06-23T00:00:00"/>
    <x v="0"/>
    <s v="INS840674"/>
    <s v="david.williams@mail.com"/>
    <s v="D007"/>
    <x v="4"/>
    <x v="1"/>
    <n v="8217493115"/>
    <n v="26"/>
    <x v="2"/>
    <s v="dr.robert.davis@hospital.com"/>
    <x v="6"/>
    <x v="6"/>
    <x v="1"/>
    <x v="0"/>
    <s v="T007"/>
    <x v="0"/>
    <s v="Advanced protocol"/>
    <n v="534.03"/>
    <d v="2023-04-09T00:00:00"/>
    <s v="B007"/>
    <x v="6"/>
    <n v="534.03"/>
    <x v="2"/>
    <x v="2"/>
  </r>
  <r>
    <s v="A008"/>
    <s v="P016"/>
    <s v="Michael Taylor"/>
    <x v="1"/>
    <d v="2000-07-22T00:00:00"/>
    <n v="7223380592"/>
    <s v="789 Pine Rd"/>
    <d v="2021-07-23T00:00:00"/>
    <x v="2"/>
    <s v="INS156958"/>
    <s v="michael.taylor@mail.com"/>
    <s v="D010"/>
    <x v="5"/>
    <x v="1"/>
    <n v="6176383634"/>
    <n v="21"/>
    <x v="1"/>
    <s v="dr.linda.wilson@hospital.com"/>
    <x v="7"/>
    <x v="7"/>
    <x v="1"/>
    <x v="2"/>
    <s v="T008"/>
    <x v="3"/>
    <s v="Basic screening"/>
    <n v="3413.64"/>
    <d v="2023-05-24T00:00:00"/>
    <s v="B008"/>
    <x v="7"/>
    <n v="3413.64"/>
    <x v="2"/>
    <x v="2"/>
  </r>
  <r>
    <s v="A009"/>
    <s v="P039"/>
    <s v="Jane Wilson"/>
    <x v="0"/>
    <d v="1950-12-12T00:00:00"/>
    <n v="9271131338"/>
    <s v="789 Pine Rd"/>
    <d v="2021-03-09T00:00:00"/>
    <x v="2"/>
    <s v="INS348710"/>
    <s v="jane.wilson@mail.com"/>
    <s v="D010"/>
    <x v="5"/>
    <x v="1"/>
    <n v="6176383634"/>
    <n v="21"/>
    <x v="1"/>
    <s v="dr.linda.wilson@hospital.com"/>
    <x v="8"/>
    <x v="8"/>
    <x v="4"/>
    <x v="0"/>
    <s v="T009"/>
    <x v="3"/>
    <s v="Standard procedure"/>
    <n v="4541.1400000000003"/>
    <d v="2023-03-05T00:00:00"/>
    <s v="B009"/>
    <x v="8"/>
    <n v="4541.1400000000003"/>
    <x v="1"/>
    <x v="1"/>
  </r>
  <r>
    <s v="A010"/>
    <s v="P005"/>
    <s v="David Wilson"/>
    <x v="1"/>
    <d v="1960-06-23T00:00:00"/>
    <n v="7734463155"/>
    <s v="123 Elm St"/>
    <d v="2021-09-29T00:00:00"/>
    <x v="1"/>
    <s v="INS788105"/>
    <s v="david.wilson@mail.com"/>
    <s v="D003"/>
    <x v="3"/>
    <x v="0"/>
    <n v="8737740598"/>
    <n v="19"/>
    <x v="1"/>
    <s v="dr.jane.smith@hospital.com"/>
    <x v="9"/>
    <x v="9"/>
    <x v="0"/>
    <x v="3"/>
    <s v="T010"/>
    <x v="3"/>
    <s v="Standard procedure"/>
    <n v="1595.67"/>
    <d v="2023-01-13T00:00:00"/>
    <s v="B010"/>
    <x v="9"/>
    <n v="1595.67"/>
    <x v="2"/>
    <x v="1"/>
  </r>
  <r>
    <s v="A011"/>
    <s v="P022"/>
    <s v="John Brown"/>
    <x v="1"/>
    <d v="1955-05-10T00:00:00"/>
    <n v="6221099573"/>
    <s v="321 Maple Dr"/>
    <d v="2021-05-11T00:00:00"/>
    <x v="1"/>
    <s v="INS258823"/>
    <s v="john.brown@mail.com"/>
    <s v="D007"/>
    <x v="4"/>
    <x v="1"/>
    <n v="8217493115"/>
    <n v="26"/>
    <x v="2"/>
    <s v="dr.robert.davis@hospital.com"/>
    <x v="10"/>
    <x v="10"/>
    <x v="3"/>
    <x v="1"/>
    <s v="T011"/>
    <x v="1"/>
    <s v="Basic screening"/>
    <n v="4671.66"/>
    <d v="2023-11-12T00:00:00"/>
    <s v="B011"/>
    <x v="10"/>
    <n v="4671.66"/>
    <x v="2"/>
    <x v="2"/>
  </r>
  <r>
    <s v="A012"/>
    <s v="P029"/>
    <s v="David Smith"/>
    <x v="1"/>
    <d v="2005-05-15T00:00:00"/>
    <n v="8923607677"/>
    <s v="789 Pine Rd"/>
    <d v="2023-04-19T00:00:00"/>
    <x v="3"/>
    <s v="INS630089"/>
    <s v="david.smith@mail.com"/>
    <s v="D003"/>
    <x v="3"/>
    <x v="0"/>
    <n v="8737740598"/>
    <n v="19"/>
    <x v="1"/>
    <s v="dr.jane.smith@hospital.com"/>
    <x v="11"/>
    <x v="11"/>
    <x v="4"/>
    <x v="3"/>
    <s v="T012"/>
    <x v="0"/>
    <s v="Standard procedure"/>
    <n v="771.2"/>
    <d v="2023-05-07T00:00:00"/>
    <s v="B012"/>
    <x v="11"/>
    <n v="771.2"/>
    <x v="0"/>
    <x v="0"/>
  </r>
  <r>
    <s v="A013"/>
    <s v="P003"/>
    <s v="Laura Jones"/>
    <x v="1"/>
    <d v="1977-08-21T00:00:00"/>
    <n v="8397029847"/>
    <s v="321 Maple Dr"/>
    <d v="2022-02-07T00:00:00"/>
    <x v="2"/>
    <s v="INS650929"/>
    <s v="laura.jones@mail.com"/>
    <s v="D002"/>
    <x v="6"/>
    <x v="0"/>
    <n v="9004382050"/>
    <n v="24"/>
    <x v="1"/>
    <s v="dr.jane.davis@hospital.com"/>
    <x v="12"/>
    <x v="12"/>
    <x v="2"/>
    <x v="0"/>
    <s v="T013"/>
    <x v="1"/>
    <s v="Standard procedure"/>
    <n v="4704.96"/>
    <d v="2023-08-16T00:00:00"/>
    <s v="B013"/>
    <x v="12"/>
    <n v="4704.96"/>
    <x v="2"/>
    <x v="1"/>
  </r>
  <r>
    <s v="A014"/>
    <s v="P012"/>
    <s v="Laura Davis"/>
    <x v="0"/>
    <d v="1991-12-08T00:00:00"/>
    <n v="8135666049"/>
    <s v="321 Maple Dr"/>
    <d v="2023-04-27T00:00:00"/>
    <x v="1"/>
    <s v="INS104014"/>
    <s v="laura.davis@mail.com"/>
    <s v="D010"/>
    <x v="5"/>
    <x v="1"/>
    <n v="6176383634"/>
    <n v="21"/>
    <x v="1"/>
    <s v="dr.linda.wilson@hospital.com"/>
    <x v="13"/>
    <x v="6"/>
    <x v="2"/>
    <x v="2"/>
    <s v="T014"/>
    <x v="2"/>
    <s v="Basic screening"/>
    <n v="2082.3000000000002"/>
    <d v="2023-05-25T00:00:00"/>
    <s v="B014"/>
    <x v="13"/>
    <n v="2082.3000000000002"/>
    <x v="1"/>
    <x v="1"/>
  </r>
  <r>
    <s v="A015"/>
    <s v="P026"/>
    <s v="John Taylor"/>
    <x v="1"/>
    <d v="2003-11-28T00:00:00"/>
    <n v="9900972256"/>
    <s v="123 Elm St"/>
    <d v="2021-05-13T00:00:00"/>
    <x v="1"/>
    <s v="INS598863"/>
    <s v="john.taylor@mail.com"/>
    <s v="D004"/>
    <x v="1"/>
    <x v="0"/>
    <n v="6594221991"/>
    <n v="28"/>
    <x v="0"/>
    <s v="dr.david.jones@hospital.com"/>
    <x v="14"/>
    <x v="13"/>
    <x v="1"/>
    <x v="1"/>
    <s v="T015"/>
    <x v="3"/>
    <s v="Basic screening"/>
    <n v="956.39"/>
    <d v="2023-01-15T00:00:00"/>
    <s v="B015"/>
    <x v="14"/>
    <n v="956.39"/>
    <x v="0"/>
    <x v="0"/>
  </r>
  <r>
    <s v="A016"/>
    <s v="P016"/>
    <s v="Michael Taylor"/>
    <x v="1"/>
    <d v="2000-07-22T00:00:00"/>
    <n v="7223380592"/>
    <s v="789 Pine Rd"/>
    <d v="2021-07-23T00:00:00"/>
    <x v="2"/>
    <s v="INS156958"/>
    <s v="michael.taylor@mail.com"/>
    <s v="D008"/>
    <x v="7"/>
    <x v="2"/>
    <n v="9069162601"/>
    <n v="5"/>
    <x v="2"/>
    <s v="dr.linda.brown@hospital.com"/>
    <x v="15"/>
    <x v="14"/>
    <x v="1"/>
    <x v="0"/>
    <s v="T016"/>
    <x v="1"/>
    <s v="Basic screening"/>
    <n v="2686.42"/>
    <d v="2023-06-30T00:00:00"/>
    <s v="B008"/>
    <x v="7"/>
    <n v="3413.64"/>
    <x v="2"/>
    <x v="2"/>
  </r>
  <r>
    <s v="A017"/>
    <s v="P037"/>
    <s v="Robert Williams"/>
    <x v="1"/>
    <d v="1999-02-05T00:00:00"/>
    <n v="8886800195"/>
    <s v="456 Oak Ave"/>
    <d v="2021-09-30T00:00:00"/>
    <x v="3"/>
    <s v="INS319963"/>
    <s v="robert.williams@mail.com"/>
    <s v="D009"/>
    <x v="0"/>
    <x v="0"/>
    <n v="7387087517"/>
    <n v="26"/>
    <x v="0"/>
    <s v="dr.sarah.smith@hospital.com"/>
    <x v="16"/>
    <x v="15"/>
    <x v="2"/>
    <x v="0"/>
    <s v="T017"/>
    <x v="1"/>
    <s v="Basic screening"/>
    <n v="1655.49"/>
    <d v="2023-07-11T00:00:00"/>
    <s v="B017"/>
    <x v="15"/>
    <n v="1655.49"/>
    <x v="1"/>
    <x v="0"/>
  </r>
  <r>
    <s v="A018"/>
    <s v="P022"/>
    <s v="John Brown"/>
    <x v="1"/>
    <d v="1955-05-10T00:00:00"/>
    <n v="6221099573"/>
    <s v="321 Maple Dr"/>
    <d v="2021-05-11T00:00:00"/>
    <x v="1"/>
    <s v="INS258823"/>
    <s v="john.brown@mail.com"/>
    <s v="D007"/>
    <x v="4"/>
    <x v="1"/>
    <n v="8217493115"/>
    <n v="26"/>
    <x v="2"/>
    <s v="dr.robert.davis@hospital.com"/>
    <x v="17"/>
    <x v="16"/>
    <x v="1"/>
    <x v="2"/>
    <s v="T018"/>
    <x v="2"/>
    <s v="Advanced protocol"/>
    <n v="1781.93"/>
    <d v="2023-11-14T00:00:00"/>
    <s v="B011"/>
    <x v="10"/>
    <n v="4671.66"/>
    <x v="2"/>
    <x v="2"/>
  </r>
  <r>
    <s v="A019"/>
    <s v="P029"/>
    <s v="David Smith"/>
    <x v="1"/>
    <d v="2005-05-15T00:00:00"/>
    <n v="8923607677"/>
    <s v="789 Pine Rd"/>
    <d v="2023-04-19T00:00:00"/>
    <x v="3"/>
    <s v="INS630089"/>
    <s v="david.smith@mail.com"/>
    <s v="D001"/>
    <x v="8"/>
    <x v="2"/>
    <n v="8322010158"/>
    <n v="17"/>
    <x v="2"/>
    <s v="dr.david.taylor@hospital.com"/>
    <x v="18"/>
    <x v="9"/>
    <x v="3"/>
    <x v="2"/>
    <s v="T019"/>
    <x v="4"/>
    <s v="Basic screening"/>
    <n v="1882.8"/>
    <d v="2023-02-06T00:00:00"/>
    <s v="B012"/>
    <x v="11"/>
    <n v="771.2"/>
    <x v="0"/>
    <x v="0"/>
  </r>
  <r>
    <s v="A020"/>
    <s v="P014"/>
    <s v="Alex Taylor"/>
    <x v="1"/>
    <d v="1968-02-27T00:00:00"/>
    <n v="7292262512"/>
    <s v="789 Pine Rd"/>
    <d v="2023-12-12T00:00:00"/>
    <x v="1"/>
    <s v="INS118070"/>
    <s v="alex.taylor@mail.com"/>
    <s v="D003"/>
    <x v="3"/>
    <x v="0"/>
    <n v="8737740598"/>
    <n v="19"/>
    <x v="1"/>
    <s v="dr.jane.smith@hospital.com"/>
    <x v="19"/>
    <x v="0"/>
    <x v="1"/>
    <x v="3"/>
    <s v="T020"/>
    <x v="0"/>
    <s v="Advanced protocol"/>
    <n v="4113.62"/>
    <d v="2023-12-05T00:00:00"/>
    <s v="B020"/>
    <x v="16"/>
    <n v="4113.62"/>
    <x v="1"/>
    <x v="2"/>
  </r>
  <r>
    <s v="A021"/>
    <s v="P028"/>
    <s v="Alex Moore"/>
    <x v="1"/>
    <d v="1993-04-13T00:00:00"/>
    <n v="7028910482"/>
    <s v="321 Maple Dr"/>
    <d v="2023-05-20T00:00:00"/>
    <x v="1"/>
    <s v="INS679036"/>
    <s v="alex.moore@mail.com"/>
    <s v="D009"/>
    <x v="0"/>
    <x v="0"/>
    <n v="7387087517"/>
    <n v="26"/>
    <x v="0"/>
    <s v="dr.sarah.smith@hospital.com"/>
    <x v="20"/>
    <x v="11"/>
    <x v="0"/>
    <x v="1"/>
    <s v="T021"/>
    <x v="4"/>
    <s v="Advanced protocol"/>
    <n v="2926.23"/>
    <d v="2023-04-24T00:00:00"/>
    <s v="B021"/>
    <x v="17"/>
    <n v="2926.23"/>
    <x v="0"/>
    <x v="2"/>
  </r>
  <r>
    <s v="A022"/>
    <s v="P005"/>
    <s v="David Wilson"/>
    <x v="1"/>
    <d v="1960-06-23T00:00:00"/>
    <n v="7734463155"/>
    <s v="123 Elm St"/>
    <d v="2021-09-29T00:00:00"/>
    <x v="1"/>
    <s v="INS788105"/>
    <s v="david.wilson@mail.com"/>
    <s v="D001"/>
    <x v="8"/>
    <x v="2"/>
    <n v="8322010158"/>
    <n v="17"/>
    <x v="2"/>
    <s v="dr.david.taylor@hospital.com"/>
    <x v="17"/>
    <x v="17"/>
    <x v="1"/>
    <x v="1"/>
    <s v="T022"/>
    <x v="3"/>
    <s v="Advanced protocol"/>
    <n v="1900.88"/>
    <d v="2023-11-14T00:00:00"/>
    <s v="B010"/>
    <x v="9"/>
    <n v="1595.67"/>
    <x v="2"/>
    <x v="1"/>
  </r>
  <r>
    <s v="A023"/>
    <s v="P047"/>
    <s v="Jane Moore"/>
    <x v="1"/>
    <d v="1995-12-13T00:00:00"/>
    <n v="8715732851"/>
    <s v="321 Maple Dr"/>
    <d v="2022-05-20T00:00:00"/>
    <x v="0"/>
    <s v="INS337549"/>
    <s v="jane.moore@mail.com"/>
    <s v="D009"/>
    <x v="0"/>
    <x v="0"/>
    <n v="7387087517"/>
    <n v="26"/>
    <x v="0"/>
    <s v="dr.sarah.smith@hospital.com"/>
    <x v="21"/>
    <x v="1"/>
    <x v="4"/>
    <x v="2"/>
    <s v="T023"/>
    <x v="1"/>
    <s v="Standard procedure"/>
    <n v="3246.5"/>
    <d v="2023-05-09T00:00:00"/>
    <s v="B023"/>
    <x v="18"/>
    <n v="3246.5"/>
    <x v="1"/>
    <x v="0"/>
  </r>
  <r>
    <s v="A024"/>
    <s v="P049"/>
    <s v="David Moore"/>
    <x v="1"/>
    <d v="1972-11-26T00:00:00"/>
    <n v="7712937941"/>
    <s v="321 Maple Dr"/>
    <d v="2023-06-14T00:00:00"/>
    <x v="1"/>
    <s v="INS584299"/>
    <s v="david.moore@mail.com"/>
    <s v="D008"/>
    <x v="7"/>
    <x v="2"/>
    <n v="9069162601"/>
    <n v="5"/>
    <x v="2"/>
    <s v="dr.linda.brown@hospital.com"/>
    <x v="22"/>
    <x v="2"/>
    <x v="3"/>
    <x v="3"/>
    <s v="T024"/>
    <x v="2"/>
    <s v="Advanced protocol"/>
    <n v="3722.68"/>
    <d v="2023-06-21T00:00:00"/>
    <s v="B024"/>
    <x v="19"/>
    <n v="3722.68"/>
    <x v="2"/>
    <x v="0"/>
  </r>
  <r>
    <s v="A025"/>
    <s v="P030"/>
    <s v="Emily Moore"/>
    <x v="1"/>
    <d v="1964-12-23T00:00:00"/>
    <n v="6622318721"/>
    <s v="456 Oak Ave"/>
    <d v="2021-08-07T00:00:00"/>
    <x v="2"/>
    <s v="INS250262"/>
    <s v="emily.moore@mail.com"/>
    <s v="D001"/>
    <x v="8"/>
    <x v="2"/>
    <n v="8322010158"/>
    <n v="17"/>
    <x v="2"/>
    <s v="dr.david.taylor@hospital.com"/>
    <x v="23"/>
    <x v="2"/>
    <x v="4"/>
    <x v="1"/>
    <s v="T025"/>
    <x v="2"/>
    <s v="Advanced protocol"/>
    <n v="1726.81"/>
    <d v="2023-02-25T00:00:00"/>
    <s v="B025"/>
    <x v="20"/>
    <n v="1726.81"/>
    <x v="2"/>
    <x v="2"/>
  </r>
  <r>
    <s v="A026"/>
    <s v="P046"/>
    <s v="Michael Taylor"/>
    <x v="0"/>
    <d v="1986-09-01T00:00:00"/>
    <n v="8019925828"/>
    <s v="456 Oak Ave"/>
    <d v="2021-07-31T00:00:00"/>
    <x v="1"/>
    <s v="INS368799"/>
    <s v="michael.taylor@mail.com"/>
    <s v="D006"/>
    <x v="2"/>
    <x v="0"/>
    <n v="6570137231"/>
    <n v="23"/>
    <x v="0"/>
    <s v="dr.alex.davis@hospital.com"/>
    <x v="24"/>
    <x v="18"/>
    <x v="4"/>
    <x v="2"/>
    <s v="T026"/>
    <x v="0"/>
    <s v="Standard procedure"/>
    <n v="2360.9699999999998"/>
    <d v="2023-03-17T00:00:00"/>
    <s v="B026"/>
    <x v="21"/>
    <n v="2360.9699999999998"/>
    <x v="0"/>
    <x v="1"/>
  </r>
  <r>
    <s v="A027"/>
    <s v="P005"/>
    <s v="David Wilson"/>
    <x v="1"/>
    <d v="1960-06-23T00:00:00"/>
    <n v="7734463155"/>
    <s v="123 Elm St"/>
    <d v="2021-09-29T00:00:00"/>
    <x v="1"/>
    <s v="INS788105"/>
    <s v="david.wilson@mail.com"/>
    <s v="D005"/>
    <x v="9"/>
    <x v="2"/>
    <n v="9118538547"/>
    <n v="26"/>
    <x v="0"/>
    <s v="dr.sarah.taylor@hospital.com"/>
    <x v="17"/>
    <x v="4"/>
    <x v="0"/>
    <x v="0"/>
    <s v="T027"/>
    <x v="4"/>
    <s v="Standard procedure"/>
    <n v="1048.49"/>
    <d v="2023-11-14T00:00:00"/>
    <s v="B010"/>
    <x v="9"/>
    <n v="1595.67"/>
    <x v="2"/>
    <x v="1"/>
  </r>
  <r>
    <s v="A028"/>
    <s v="P012"/>
    <s v="Laura Davis"/>
    <x v="0"/>
    <d v="1991-12-08T00:00:00"/>
    <n v="8135666049"/>
    <s v="321 Maple Dr"/>
    <d v="2023-04-27T00:00:00"/>
    <x v="1"/>
    <s v="INS104014"/>
    <s v="laura.davis@mail.com"/>
    <s v="D006"/>
    <x v="2"/>
    <x v="0"/>
    <n v="6570137231"/>
    <n v="23"/>
    <x v="0"/>
    <s v="dr.alex.davis@hospital.com"/>
    <x v="25"/>
    <x v="9"/>
    <x v="3"/>
    <x v="1"/>
    <s v="T028"/>
    <x v="0"/>
    <s v="Standard procedure"/>
    <n v="1315.17"/>
    <d v="2023-10-29T00:00:00"/>
    <s v="B014"/>
    <x v="13"/>
    <n v="2082.3000000000002"/>
    <x v="1"/>
    <x v="1"/>
  </r>
  <r>
    <s v="A029"/>
    <s v="P016"/>
    <s v="Michael Taylor"/>
    <x v="1"/>
    <d v="2000-07-22T00:00:00"/>
    <n v="7223380592"/>
    <s v="789 Pine Rd"/>
    <d v="2021-07-23T00:00:00"/>
    <x v="2"/>
    <s v="INS156958"/>
    <s v="michael.taylor@mail.com"/>
    <s v="D010"/>
    <x v="5"/>
    <x v="1"/>
    <n v="6176383634"/>
    <n v="21"/>
    <x v="1"/>
    <s v="dr.linda.wilson@hospital.com"/>
    <x v="26"/>
    <x v="1"/>
    <x v="3"/>
    <x v="3"/>
    <s v="T029"/>
    <x v="1"/>
    <s v="Basic screening"/>
    <n v="3565.03"/>
    <d v="2023-06-25T00:00:00"/>
    <s v="B008"/>
    <x v="7"/>
    <n v="3413.64"/>
    <x v="2"/>
    <x v="2"/>
  </r>
  <r>
    <s v="A030"/>
    <s v="P026"/>
    <s v="John Taylor"/>
    <x v="1"/>
    <d v="2003-11-28T00:00:00"/>
    <n v="9900972256"/>
    <s v="123 Elm St"/>
    <d v="2021-05-13T00:00:00"/>
    <x v="1"/>
    <s v="INS598863"/>
    <s v="john.taylor@mail.com"/>
    <s v="D005"/>
    <x v="9"/>
    <x v="2"/>
    <n v="9118538547"/>
    <n v="26"/>
    <x v="0"/>
    <s v="dr.sarah.taylor@hospital.com"/>
    <x v="27"/>
    <x v="19"/>
    <x v="3"/>
    <x v="3"/>
    <s v="T030"/>
    <x v="0"/>
    <s v="Standard procedure"/>
    <n v="1316.47"/>
    <d v="2023-08-29T00:00:00"/>
    <s v="B015"/>
    <x v="14"/>
    <n v="956.39"/>
    <x v="0"/>
    <x v="0"/>
  </r>
  <r>
    <s v="A031"/>
    <s v="P026"/>
    <s v="John Taylor"/>
    <x v="1"/>
    <d v="2003-11-28T00:00:00"/>
    <n v="9900972256"/>
    <s v="123 Elm St"/>
    <d v="2021-05-13T00:00:00"/>
    <x v="1"/>
    <s v="INS598863"/>
    <s v="john.taylor@mail.com"/>
    <s v="D006"/>
    <x v="2"/>
    <x v="0"/>
    <n v="6570137231"/>
    <n v="23"/>
    <x v="0"/>
    <s v="dr.alex.davis@hospital.com"/>
    <x v="28"/>
    <x v="6"/>
    <x v="3"/>
    <x v="3"/>
    <s v="T031"/>
    <x v="2"/>
    <s v="Standard procedure"/>
    <n v="2863.24"/>
    <d v="2023-04-04T00:00:00"/>
    <s v="B015"/>
    <x v="14"/>
    <n v="956.39"/>
    <x v="0"/>
    <x v="0"/>
  </r>
  <r>
    <s v="A032"/>
    <s v="P048"/>
    <s v="Emily Miller"/>
    <x v="1"/>
    <d v="1983-03-24T00:00:00"/>
    <n v="8720989381"/>
    <s v="123 Elm St"/>
    <d v="2023-06-19T00:00:00"/>
    <x v="2"/>
    <s v="INS694319"/>
    <s v="emily.miller@mail.com"/>
    <s v="D005"/>
    <x v="9"/>
    <x v="2"/>
    <n v="9118538547"/>
    <n v="26"/>
    <x v="0"/>
    <s v="dr.sarah.taylor@hospital.com"/>
    <x v="29"/>
    <x v="20"/>
    <x v="3"/>
    <x v="0"/>
    <s v="T032"/>
    <x v="2"/>
    <s v="Advanced protocol"/>
    <n v="3690.71"/>
    <d v="2023-11-06T00:00:00"/>
    <s v="B003"/>
    <x v="2"/>
    <n v="3731.55"/>
    <x v="0"/>
    <x v="1"/>
  </r>
  <r>
    <s v="A033"/>
    <s v="P021"/>
    <s v="Michael Wilson"/>
    <x v="1"/>
    <d v="2002-03-01T00:00:00"/>
    <n v="7765390555"/>
    <s v="321 Maple Dr"/>
    <d v="2022-01-19T00:00:00"/>
    <x v="0"/>
    <s v="INS297392"/>
    <s v="michael.wilson@mail.com"/>
    <s v="D005"/>
    <x v="9"/>
    <x v="2"/>
    <n v="9118538547"/>
    <n v="26"/>
    <x v="0"/>
    <s v="dr.sarah.taylor@hospital.com"/>
    <x v="30"/>
    <x v="21"/>
    <x v="0"/>
    <x v="1"/>
    <s v="T033"/>
    <x v="3"/>
    <s v="Standard procedure"/>
    <n v="980.95"/>
    <d v="2023-09-23T00:00:00"/>
    <s v="B033"/>
    <x v="22"/>
    <n v="980.95"/>
    <x v="1"/>
    <x v="1"/>
  </r>
  <r>
    <s v="A034"/>
    <s v="P039"/>
    <s v="Jane Wilson"/>
    <x v="0"/>
    <d v="1950-12-12T00:00:00"/>
    <n v="9271131338"/>
    <s v="789 Pine Rd"/>
    <d v="2021-03-09T00:00:00"/>
    <x v="2"/>
    <s v="INS348710"/>
    <s v="jane.wilson@mail.com"/>
    <s v="D004"/>
    <x v="1"/>
    <x v="0"/>
    <n v="6594221991"/>
    <n v="28"/>
    <x v="0"/>
    <s v="dr.david.jones@hospital.com"/>
    <x v="31"/>
    <x v="22"/>
    <x v="1"/>
    <x v="1"/>
    <s v="T034"/>
    <x v="3"/>
    <s v="Basic screening"/>
    <n v="3052.9"/>
    <d v="2023-06-13T00:00:00"/>
    <s v="B009"/>
    <x v="8"/>
    <n v="4541.1400000000003"/>
    <x v="1"/>
    <x v="1"/>
  </r>
  <r>
    <s v="A035"/>
    <s v="P036"/>
    <s v="Michael Wilson"/>
    <x v="1"/>
    <d v="1997-12-26T00:00:00"/>
    <n v="8545613046"/>
    <s v="123 Elm St"/>
    <d v="2022-10-04T00:00:00"/>
    <x v="1"/>
    <s v="INS764076"/>
    <s v="michael.wilson@mail.com"/>
    <s v="D003"/>
    <x v="3"/>
    <x v="0"/>
    <n v="8737740598"/>
    <n v="19"/>
    <x v="1"/>
    <s v="dr.jane.smith@hospital.com"/>
    <x v="32"/>
    <x v="7"/>
    <x v="4"/>
    <x v="0"/>
    <s v="T035"/>
    <x v="1"/>
    <s v="Standard procedure"/>
    <n v="1654.53"/>
    <d v="2023-04-18T00:00:00"/>
    <s v="B035"/>
    <x v="23"/>
    <n v="1654.53"/>
    <x v="0"/>
    <x v="2"/>
  </r>
  <r>
    <s v="A036"/>
    <s v="P033"/>
    <s v="Michael Wilson"/>
    <x v="0"/>
    <d v="1970-02-06T00:00:00"/>
    <n v="7923214041"/>
    <s v="789 Pine Rd"/>
    <d v="2023-09-06T00:00:00"/>
    <x v="1"/>
    <s v="INS544209"/>
    <s v="michael.wilson@mail.com"/>
    <s v="D003"/>
    <x v="3"/>
    <x v="0"/>
    <n v="8737740598"/>
    <n v="19"/>
    <x v="1"/>
    <s v="dr.jane.smith@hospital.com"/>
    <x v="33"/>
    <x v="1"/>
    <x v="3"/>
    <x v="1"/>
    <s v="T036"/>
    <x v="4"/>
    <s v="Basic screening"/>
    <n v="4833.17"/>
    <d v="2023-01-08T00:00:00"/>
    <s v="B036"/>
    <x v="24"/>
    <n v="4833.17"/>
    <x v="2"/>
    <x v="0"/>
  </r>
  <r>
    <s v="A037"/>
    <s v="P030"/>
    <s v="Emily Moore"/>
    <x v="1"/>
    <d v="1964-12-23T00:00:00"/>
    <n v="6622318721"/>
    <s v="456 Oak Ave"/>
    <d v="2021-08-07T00:00:00"/>
    <x v="2"/>
    <s v="INS250262"/>
    <s v="emily.moore@mail.com"/>
    <s v="D004"/>
    <x v="1"/>
    <x v="0"/>
    <n v="6594221991"/>
    <n v="28"/>
    <x v="0"/>
    <s v="dr.david.jones@hospital.com"/>
    <x v="34"/>
    <x v="14"/>
    <x v="1"/>
    <x v="0"/>
    <s v="T037"/>
    <x v="0"/>
    <s v="Standard procedure"/>
    <n v="2675.96"/>
    <d v="2023-03-28T00:00:00"/>
    <s v="B025"/>
    <x v="20"/>
    <n v="1726.81"/>
    <x v="2"/>
    <x v="2"/>
  </r>
  <r>
    <s v="A038"/>
    <s v="P037"/>
    <s v="Robert Williams"/>
    <x v="1"/>
    <d v="1999-02-05T00:00:00"/>
    <n v="8886800195"/>
    <s v="456 Oak Ave"/>
    <d v="2021-09-30T00:00:00"/>
    <x v="3"/>
    <s v="INS319963"/>
    <s v="robert.williams@mail.com"/>
    <s v="D009"/>
    <x v="0"/>
    <x v="0"/>
    <n v="7387087517"/>
    <n v="26"/>
    <x v="0"/>
    <s v="dr.sarah.smith@hospital.com"/>
    <x v="35"/>
    <x v="17"/>
    <x v="1"/>
    <x v="0"/>
    <s v="T038"/>
    <x v="1"/>
    <s v="Standard procedure"/>
    <n v="4126.97"/>
    <d v="2023-02-23T00:00:00"/>
    <s v="B017"/>
    <x v="15"/>
    <n v="1655.49"/>
    <x v="1"/>
    <x v="0"/>
  </r>
  <r>
    <s v="A039"/>
    <s v="P023"/>
    <s v="Linda Johnson"/>
    <x v="1"/>
    <d v="1994-02-22T00:00:00"/>
    <n v="6141951830"/>
    <s v="789 Pine Rd"/>
    <d v="2021-12-27T00:00:00"/>
    <x v="0"/>
    <s v="INS730152"/>
    <s v="linda.johnson@mail.com"/>
    <s v="D002"/>
    <x v="6"/>
    <x v="0"/>
    <n v="9004382050"/>
    <n v="24"/>
    <x v="1"/>
    <s v="dr.jane.davis@hospital.com"/>
    <x v="36"/>
    <x v="2"/>
    <x v="4"/>
    <x v="0"/>
    <s v="T039"/>
    <x v="3"/>
    <s v="Standard procedure"/>
    <n v="2976.02"/>
    <d v="2023-04-17T00:00:00"/>
    <s v="B039"/>
    <x v="25"/>
    <n v="2976.02"/>
    <x v="0"/>
    <x v="2"/>
  </r>
  <r>
    <s v="A040"/>
    <s v="P010"/>
    <s v="Michael Taylor"/>
    <x v="1"/>
    <d v="2001-10-13T00:00:00"/>
    <n v="7081396733"/>
    <s v="123 Elm St"/>
    <d v="2022-08-24T00:00:00"/>
    <x v="0"/>
    <s v="INS866577"/>
    <s v="michael.taylor@mail.com"/>
    <s v="D009"/>
    <x v="0"/>
    <x v="0"/>
    <n v="7387087517"/>
    <n v="26"/>
    <x v="0"/>
    <s v="dr.sarah.smith@hospital.com"/>
    <x v="37"/>
    <x v="23"/>
    <x v="0"/>
    <x v="3"/>
    <s v="T040"/>
    <x v="0"/>
    <s v="Standard procedure"/>
    <n v="695.36"/>
    <d v="2023-03-27T00:00:00"/>
    <s v="B040"/>
    <x v="26"/>
    <n v="695.36"/>
    <x v="2"/>
    <x v="2"/>
  </r>
  <r>
    <s v="A041"/>
    <s v="P005"/>
    <s v="David Wilson"/>
    <x v="1"/>
    <d v="1960-06-23T00:00:00"/>
    <n v="7734463155"/>
    <s v="123 Elm St"/>
    <d v="2021-09-29T00:00:00"/>
    <x v="1"/>
    <s v="INS788105"/>
    <s v="david.wilson@mail.com"/>
    <s v="D001"/>
    <x v="8"/>
    <x v="2"/>
    <n v="8322010158"/>
    <n v="17"/>
    <x v="2"/>
    <s v="dr.david.taylor@hospital.com"/>
    <x v="38"/>
    <x v="24"/>
    <x v="2"/>
    <x v="1"/>
    <s v="T041"/>
    <x v="3"/>
    <s v="Basic screening"/>
    <n v="3349.18"/>
    <d v="2023-01-01T00:00:00"/>
    <s v="B010"/>
    <x v="9"/>
    <n v="1595.67"/>
    <x v="2"/>
    <x v="1"/>
  </r>
  <r>
    <s v="A042"/>
    <s v="P036"/>
    <s v="Michael Wilson"/>
    <x v="1"/>
    <d v="1997-12-26T00:00:00"/>
    <n v="8545613046"/>
    <s v="123 Elm St"/>
    <d v="2022-10-04T00:00:00"/>
    <x v="1"/>
    <s v="INS764076"/>
    <s v="michael.wilson@mail.com"/>
    <s v="D001"/>
    <x v="8"/>
    <x v="2"/>
    <n v="8322010158"/>
    <n v="17"/>
    <x v="2"/>
    <s v="dr.david.taylor@hospital.com"/>
    <x v="39"/>
    <x v="25"/>
    <x v="2"/>
    <x v="0"/>
    <s v="T042"/>
    <x v="0"/>
    <s v="Basic screening"/>
    <n v="4781.32"/>
    <d v="2023-03-21T00:00:00"/>
    <s v="B035"/>
    <x v="23"/>
    <n v="1654.53"/>
    <x v="0"/>
    <x v="2"/>
  </r>
  <r>
    <s v="A043"/>
    <s v="P034"/>
    <s v="Alex Smith"/>
    <x v="0"/>
    <d v="1950-01-26T00:00:00"/>
    <n v="8374657733"/>
    <s v="321 Maple Dr"/>
    <d v="2023-06-18T00:00:00"/>
    <x v="0"/>
    <s v="INS653880"/>
    <s v="alex.smith@mail.com"/>
    <s v="D005"/>
    <x v="9"/>
    <x v="2"/>
    <n v="9118538547"/>
    <n v="26"/>
    <x v="0"/>
    <s v="dr.sarah.taylor@hospital.com"/>
    <x v="40"/>
    <x v="3"/>
    <x v="1"/>
    <x v="1"/>
    <s v="T043"/>
    <x v="4"/>
    <s v="Advanced protocol"/>
    <n v="3207.25"/>
    <d v="2023-03-29T00:00:00"/>
    <s v="B001"/>
    <x v="0"/>
    <n v="3941.97"/>
    <x v="0"/>
    <x v="0"/>
  </r>
  <r>
    <s v="A044"/>
    <s v="P031"/>
    <s v="Robert Miller"/>
    <x v="1"/>
    <d v="1987-01-14T00:00:00"/>
    <n v="8280346676"/>
    <s v="321 Maple Dr"/>
    <d v="2022-06-28T00:00:00"/>
    <x v="0"/>
    <s v="INS542905"/>
    <s v="robert.miller@mail.com"/>
    <s v="D006"/>
    <x v="2"/>
    <x v="0"/>
    <n v="6570137231"/>
    <n v="23"/>
    <x v="0"/>
    <s v="dr.alex.davis@hospital.com"/>
    <x v="41"/>
    <x v="23"/>
    <x v="4"/>
    <x v="3"/>
    <s v="T044"/>
    <x v="1"/>
    <s v="Basic screening"/>
    <n v="4186.3500000000004"/>
    <d v="2023-09-20T00:00:00"/>
    <s v="B044"/>
    <x v="27"/>
    <n v="4186.3500000000004"/>
    <x v="0"/>
    <x v="1"/>
  </r>
  <r>
    <s v="A045"/>
    <s v="P010"/>
    <s v="Michael Taylor"/>
    <x v="1"/>
    <d v="2001-10-13T00:00:00"/>
    <n v="7081396733"/>
    <s v="123 Elm St"/>
    <d v="2022-08-24T00:00:00"/>
    <x v="0"/>
    <s v="INS866577"/>
    <s v="michael.taylor@mail.com"/>
    <s v="D006"/>
    <x v="2"/>
    <x v="0"/>
    <n v="6570137231"/>
    <n v="23"/>
    <x v="0"/>
    <s v="dr.alex.davis@hospital.com"/>
    <x v="42"/>
    <x v="15"/>
    <x v="2"/>
    <x v="0"/>
    <s v="T045"/>
    <x v="0"/>
    <s v="Standard procedure"/>
    <n v="4478.93"/>
    <d v="2023-09-28T00:00:00"/>
    <s v="B040"/>
    <x v="26"/>
    <n v="695.36"/>
    <x v="2"/>
    <x v="2"/>
  </r>
  <r>
    <s v="A046"/>
    <s v="P019"/>
    <s v="Sarah Miller"/>
    <x v="1"/>
    <d v="1975-05-24T00:00:00"/>
    <n v="8618058864"/>
    <s v="789 Pine Rd"/>
    <d v="2023-06-24T00:00:00"/>
    <x v="0"/>
    <s v="INS855073"/>
    <s v="sarah.miller@mail.com"/>
    <s v="D003"/>
    <x v="3"/>
    <x v="0"/>
    <n v="8737740598"/>
    <n v="19"/>
    <x v="1"/>
    <s v="dr.jane.smith@hospital.com"/>
    <x v="43"/>
    <x v="19"/>
    <x v="1"/>
    <x v="2"/>
    <s v="T046"/>
    <x v="2"/>
    <s v="Advanced protocol"/>
    <n v="1526.36"/>
    <d v="2023-12-20T00:00:00"/>
    <s v="B046"/>
    <x v="28"/>
    <n v="1526.36"/>
    <x v="2"/>
    <x v="1"/>
  </r>
  <r>
    <s v="A047"/>
    <s v="P032"/>
    <s v="Alex Moore"/>
    <x v="1"/>
    <d v="1981-01-08T00:00:00"/>
    <n v="8102183595"/>
    <s v="123 Elm St"/>
    <d v="2021-10-02T00:00:00"/>
    <x v="1"/>
    <s v="INS335362"/>
    <s v="alex.moore@mail.com"/>
    <s v="D007"/>
    <x v="4"/>
    <x v="1"/>
    <n v="8217493115"/>
    <n v="26"/>
    <x v="2"/>
    <s v="dr.robert.davis@hospital.com"/>
    <x v="44"/>
    <x v="14"/>
    <x v="0"/>
    <x v="3"/>
    <s v="T047"/>
    <x v="2"/>
    <s v="Advanced protocol"/>
    <n v="1454.2"/>
    <d v="2023-05-02T00:00:00"/>
    <s v="B002"/>
    <x v="1"/>
    <n v="4158.4399999999996"/>
    <x v="0"/>
    <x v="1"/>
  </r>
  <r>
    <s v="A048"/>
    <s v="P001"/>
    <s v="David Williams"/>
    <x v="0"/>
    <d v="1955-06-04T00:00:00"/>
    <n v="6939585183"/>
    <s v="789 Pine Rd"/>
    <d v="2022-06-23T00:00:00"/>
    <x v="0"/>
    <s v="INS840674"/>
    <s v="david.williams@mail.com"/>
    <s v="D009"/>
    <x v="0"/>
    <x v="0"/>
    <n v="7387087517"/>
    <n v="26"/>
    <x v="0"/>
    <s v="dr.sarah.smith@hospital.com"/>
    <x v="45"/>
    <x v="26"/>
    <x v="2"/>
    <x v="2"/>
    <s v="T048"/>
    <x v="0"/>
    <s v="Advanced protocol"/>
    <n v="3249.41"/>
    <d v="2023-01-16T00:00:00"/>
    <s v="B007"/>
    <x v="6"/>
    <n v="534.03"/>
    <x v="2"/>
    <x v="2"/>
  </r>
  <r>
    <s v="A049"/>
    <s v="P005"/>
    <s v="David Wilson"/>
    <x v="1"/>
    <d v="1960-06-23T00:00:00"/>
    <n v="7734463155"/>
    <s v="123 Elm St"/>
    <d v="2021-09-29T00:00:00"/>
    <x v="1"/>
    <s v="INS788105"/>
    <s v="david.wilson@mail.com"/>
    <s v="D010"/>
    <x v="5"/>
    <x v="1"/>
    <n v="6176383634"/>
    <n v="21"/>
    <x v="1"/>
    <s v="dr.linda.wilson@hospital.com"/>
    <x v="46"/>
    <x v="9"/>
    <x v="1"/>
    <x v="1"/>
    <s v="T049"/>
    <x v="0"/>
    <s v="Standard procedure"/>
    <n v="2349.63"/>
    <d v="2023-04-30T00:00:00"/>
    <s v="B010"/>
    <x v="9"/>
    <n v="1595.67"/>
    <x v="2"/>
    <x v="1"/>
  </r>
  <r>
    <s v="A050"/>
    <s v="P045"/>
    <s v="Linda Miller"/>
    <x v="0"/>
    <d v="1966-04-25T00:00:00"/>
    <n v="7579616535"/>
    <s v="321 Maple Dr"/>
    <d v="2021-01-23T00:00:00"/>
    <x v="1"/>
    <s v="INS701863"/>
    <s v="linda.miller@mail.com"/>
    <s v="D008"/>
    <x v="7"/>
    <x v="2"/>
    <n v="9069162601"/>
    <n v="5"/>
    <x v="2"/>
    <s v="dr.linda.brown@hospital.com"/>
    <x v="12"/>
    <x v="27"/>
    <x v="1"/>
    <x v="1"/>
    <s v="T050"/>
    <x v="0"/>
    <s v="Basic screening"/>
    <n v="4279.38"/>
    <d v="2023-08-16T00:00:00"/>
    <s v="B006"/>
    <x v="5"/>
    <n v="1381"/>
    <x v="0"/>
    <x v="0"/>
  </r>
  <r>
    <s v="A051"/>
    <s v="P004"/>
    <s v="Michael Johnson"/>
    <x v="0"/>
    <d v="1981-02-20T00:00:00"/>
    <n v="9019443432"/>
    <s v="123 Elm St"/>
    <d v="2021-03-02T00:00:00"/>
    <x v="3"/>
    <s v="INS789944"/>
    <s v="michael.johnson@mail.com"/>
    <s v="D006"/>
    <x v="2"/>
    <x v="0"/>
    <n v="6570137231"/>
    <n v="23"/>
    <x v="0"/>
    <s v="dr.alex.davis@hospital.com"/>
    <x v="47"/>
    <x v="28"/>
    <x v="3"/>
    <x v="3"/>
    <s v="T051"/>
    <x v="2"/>
    <s v="Standard procedure"/>
    <n v="4550.1000000000004"/>
    <d v="2023-02-04T00:00:00"/>
    <s v="B051"/>
    <x v="29"/>
    <n v="4550.1000000000004"/>
    <x v="1"/>
    <x v="2"/>
  </r>
  <r>
    <s v="A052"/>
    <s v="P016"/>
    <s v="Michael Taylor"/>
    <x v="1"/>
    <d v="2000-07-22T00:00:00"/>
    <n v="7223380592"/>
    <s v="789 Pine Rd"/>
    <d v="2021-07-23T00:00:00"/>
    <x v="2"/>
    <s v="INS156958"/>
    <s v="michael.taylor@mail.com"/>
    <s v="D008"/>
    <x v="7"/>
    <x v="2"/>
    <n v="9069162601"/>
    <n v="5"/>
    <x v="2"/>
    <s v="dr.linda.brown@hospital.com"/>
    <x v="48"/>
    <x v="29"/>
    <x v="0"/>
    <x v="1"/>
    <s v="T052"/>
    <x v="2"/>
    <s v="Advanced protocol"/>
    <n v="2090.4"/>
    <d v="2023-07-12T00:00:00"/>
    <s v="B008"/>
    <x v="7"/>
    <n v="3413.64"/>
    <x v="2"/>
    <x v="2"/>
  </r>
  <r>
    <s v="A053"/>
    <s v="P024"/>
    <s v="Sarah Brown"/>
    <x v="0"/>
    <d v="1991-11-04T00:00:00"/>
    <n v="7196777444"/>
    <s v="321 Maple Dr"/>
    <d v="2021-09-02T00:00:00"/>
    <x v="0"/>
    <s v="INS493002"/>
    <s v="sarah.brown@mail.com"/>
    <s v="D005"/>
    <x v="9"/>
    <x v="2"/>
    <n v="9118538547"/>
    <n v="26"/>
    <x v="0"/>
    <s v="dr.sarah.taylor@hospital.com"/>
    <x v="49"/>
    <x v="6"/>
    <x v="3"/>
    <x v="2"/>
    <s v="T053"/>
    <x v="0"/>
    <s v="Standard procedure"/>
    <n v="1565.92"/>
    <d v="2023-02-12T00:00:00"/>
    <s v="B053"/>
    <x v="30"/>
    <n v="1565.92"/>
    <x v="0"/>
    <x v="0"/>
  </r>
  <r>
    <s v="A054"/>
    <s v="P016"/>
    <s v="Michael Taylor"/>
    <x v="1"/>
    <d v="2000-07-22T00:00:00"/>
    <n v="7223380592"/>
    <s v="789 Pine Rd"/>
    <d v="2021-07-23T00:00:00"/>
    <x v="2"/>
    <s v="INS156958"/>
    <s v="michael.taylor@mail.com"/>
    <s v="D008"/>
    <x v="7"/>
    <x v="2"/>
    <n v="9069162601"/>
    <n v="5"/>
    <x v="2"/>
    <s v="dr.linda.brown@hospital.com"/>
    <x v="50"/>
    <x v="28"/>
    <x v="4"/>
    <x v="0"/>
    <s v="T054"/>
    <x v="3"/>
    <s v="Standard procedure"/>
    <n v="4012.36"/>
    <d v="2023-12-16T00:00:00"/>
    <s v="B008"/>
    <x v="7"/>
    <n v="3413.64"/>
    <x v="2"/>
    <x v="2"/>
  </r>
  <r>
    <s v="A055"/>
    <s v="P002"/>
    <s v="Emily Smith"/>
    <x v="0"/>
    <d v="1984-10-12T00:00:00"/>
    <n v="8228188767"/>
    <s v="321 Maple Dr"/>
    <d v="2022-01-15T00:00:00"/>
    <x v="2"/>
    <s v="INS354079"/>
    <s v="emily.smith@mail.com"/>
    <s v="D010"/>
    <x v="5"/>
    <x v="1"/>
    <n v="6176383634"/>
    <n v="21"/>
    <x v="1"/>
    <s v="dr.linda.wilson@hospital.com"/>
    <x v="51"/>
    <x v="30"/>
    <x v="3"/>
    <x v="0"/>
    <s v="T055"/>
    <x v="3"/>
    <s v="Basic screening"/>
    <n v="1736.63"/>
    <d v="2023-10-06T00:00:00"/>
    <s v="B055"/>
    <x v="31"/>
    <n v="1736.63"/>
    <x v="2"/>
    <x v="2"/>
  </r>
  <r>
    <s v="A056"/>
    <s v="P049"/>
    <s v="David Moore"/>
    <x v="1"/>
    <d v="1972-11-26T00:00:00"/>
    <n v="7712937941"/>
    <s v="321 Maple Dr"/>
    <d v="2023-06-14T00:00:00"/>
    <x v="1"/>
    <s v="INS584299"/>
    <s v="david.moore@mail.com"/>
    <s v="D004"/>
    <x v="1"/>
    <x v="0"/>
    <n v="6594221991"/>
    <n v="28"/>
    <x v="0"/>
    <s v="dr.david.jones@hospital.com"/>
    <x v="52"/>
    <x v="4"/>
    <x v="3"/>
    <x v="0"/>
    <s v="T056"/>
    <x v="4"/>
    <s v="Basic screening"/>
    <n v="4201.76"/>
    <d v="2023-01-02T00:00:00"/>
    <s v="B024"/>
    <x v="19"/>
    <n v="3722.68"/>
    <x v="2"/>
    <x v="0"/>
  </r>
  <r>
    <s v="A057"/>
    <s v="P028"/>
    <s v="Alex Moore"/>
    <x v="1"/>
    <d v="1993-04-13T00:00:00"/>
    <n v="7028910482"/>
    <s v="321 Maple Dr"/>
    <d v="2023-05-20T00:00:00"/>
    <x v="1"/>
    <s v="INS679036"/>
    <s v="alex.moore@mail.com"/>
    <s v="D010"/>
    <x v="5"/>
    <x v="1"/>
    <n v="6176383634"/>
    <n v="21"/>
    <x v="1"/>
    <s v="dr.linda.wilson@hospital.com"/>
    <x v="53"/>
    <x v="21"/>
    <x v="2"/>
    <x v="3"/>
    <s v="T057"/>
    <x v="1"/>
    <s v="Advanced protocol"/>
    <n v="2406.8200000000002"/>
    <d v="2023-04-15T00:00:00"/>
    <s v="B021"/>
    <x v="17"/>
    <n v="2926.23"/>
    <x v="0"/>
    <x v="2"/>
  </r>
  <r>
    <s v="A058"/>
    <s v="P032"/>
    <s v="Alex Moore"/>
    <x v="1"/>
    <d v="1981-01-08T00:00:00"/>
    <n v="8102183595"/>
    <s v="123 Elm St"/>
    <d v="2021-10-02T00:00:00"/>
    <x v="1"/>
    <s v="INS335362"/>
    <s v="alex.moore@mail.com"/>
    <s v="D008"/>
    <x v="7"/>
    <x v="2"/>
    <n v="9069162601"/>
    <n v="5"/>
    <x v="2"/>
    <s v="dr.linda.brown@hospital.com"/>
    <x v="21"/>
    <x v="19"/>
    <x v="1"/>
    <x v="1"/>
    <s v="T058"/>
    <x v="3"/>
    <s v="Standard procedure"/>
    <n v="3503.97"/>
    <d v="2023-05-09T00:00:00"/>
    <s v="B002"/>
    <x v="1"/>
    <n v="4158.4399999999996"/>
    <x v="0"/>
    <x v="1"/>
  </r>
  <r>
    <s v="A059"/>
    <s v="P027"/>
    <s v="Linda Moore"/>
    <x v="0"/>
    <d v="1998-06-29T00:00:00"/>
    <n v="8724518272"/>
    <s v="321 Maple Dr"/>
    <d v="2021-08-15T00:00:00"/>
    <x v="3"/>
    <s v="INS467654"/>
    <s v="linda.moore@mail.com"/>
    <s v="D010"/>
    <x v="5"/>
    <x v="1"/>
    <n v="6176383634"/>
    <n v="21"/>
    <x v="1"/>
    <s v="dr.linda.wilson@hospital.com"/>
    <x v="54"/>
    <x v="9"/>
    <x v="0"/>
    <x v="2"/>
    <s v="T059"/>
    <x v="2"/>
    <s v="Standard procedure"/>
    <n v="929.91"/>
    <d v="2023-03-09T00:00:00"/>
    <s v="B059"/>
    <x v="32"/>
    <n v="929.91"/>
    <x v="2"/>
    <x v="0"/>
  </r>
  <r>
    <s v="A060"/>
    <s v="P020"/>
    <s v="Jane Moore"/>
    <x v="0"/>
    <d v="2003-06-06T00:00:00"/>
    <n v="8158989953"/>
    <s v="789 Pine Rd"/>
    <d v="2022-04-03T00:00:00"/>
    <x v="1"/>
    <s v="INS276089"/>
    <s v="jane.moore@mail.com"/>
    <s v="D002"/>
    <x v="6"/>
    <x v="0"/>
    <n v="9004382050"/>
    <n v="24"/>
    <x v="1"/>
    <s v="dr.jane.davis@hospital.com"/>
    <x v="55"/>
    <x v="13"/>
    <x v="3"/>
    <x v="1"/>
    <s v="T060"/>
    <x v="3"/>
    <s v="Basic screening"/>
    <n v="3307.37"/>
    <d v="2023-11-22T00:00:00"/>
    <s v="B060"/>
    <x v="33"/>
    <n v="3307.37"/>
    <x v="0"/>
    <x v="0"/>
  </r>
  <r>
    <s v="A061"/>
    <s v="P024"/>
    <s v="Sarah Brown"/>
    <x v="0"/>
    <d v="1991-11-04T00:00:00"/>
    <n v="7196777444"/>
    <s v="321 Maple Dr"/>
    <d v="2021-09-02T00:00:00"/>
    <x v="0"/>
    <s v="INS493002"/>
    <s v="sarah.brown@mail.com"/>
    <s v="D005"/>
    <x v="9"/>
    <x v="2"/>
    <n v="9118538547"/>
    <n v="26"/>
    <x v="0"/>
    <s v="dr.sarah.taylor@hospital.com"/>
    <x v="14"/>
    <x v="15"/>
    <x v="0"/>
    <x v="1"/>
    <s v="T061"/>
    <x v="4"/>
    <s v="Standard procedure"/>
    <n v="2532.9499999999998"/>
    <d v="2023-01-15T00:00:00"/>
    <s v="B053"/>
    <x v="30"/>
    <n v="1565.92"/>
    <x v="0"/>
    <x v="0"/>
  </r>
  <r>
    <s v="A062"/>
    <s v="P012"/>
    <s v="Laura Davis"/>
    <x v="0"/>
    <d v="1991-12-08T00:00:00"/>
    <n v="8135666049"/>
    <s v="321 Maple Dr"/>
    <d v="2023-04-27T00:00:00"/>
    <x v="1"/>
    <s v="INS104014"/>
    <s v="laura.davis@mail.com"/>
    <s v="D009"/>
    <x v="0"/>
    <x v="0"/>
    <n v="7387087517"/>
    <n v="26"/>
    <x v="0"/>
    <s v="dr.sarah.smith@hospital.com"/>
    <x v="56"/>
    <x v="0"/>
    <x v="3"/>
    <x v="1"/>
    <s v="T062"/>
    <x v="4"/>
    <s v="Standard procedure"/>
    <n v="3139.74"/>
    <d v="2023-06-14T00:00:00"/>
    <s v="B014"/>
    <x v="13"/>
    <n v="2082.3000000000002"/>
    <x v="1"/>
    <x v="1"/>
  </r>
  <r>
    <s v="A063"/>
    <s v="P050"/>
    <s v="Laura Wilson"/>
    <x v="1"/>
    <d v="1993-12-27T00:00:00"/>
    <n v="8301134730"/>
    <s v="321 Maple Dr"/>
    <d v="2023-04-28T00:00:00"/>
    <x v="0"/>
    <s v="INS712210"/>
    <s v="laura.wilson@mail.com"/>
    <s v="D004"/>
    <x v="1"/>
    <x v="0"/>
    <n v="6594221991"/>
    <n v="28"/>
    <x v="0"/>
    <s v="dr.david.jones@hospital.com"/>
    <x v="57"/>
    <x v="31"/>
    <x v="4"/>
    <x v="0"/>
    <s v="T063"/>
    <x v="1"/>
    <s v="Standard procedure"/>
    <n v="1256.06"/>
    <d v="2023-06-29T00:00:00"/>
    <s v="B063"/>
    <x v="34"/>
    <n v="1256.06"/>
    <x v="0"/>
    <x v="2"/>
  </r>
  <r>
    <s v="A064"/>
    <s v="P035"/>
    <s v="David Wilson"/>
    <x v="0"/>
    <d v="1993-04-13T00:00:00"/>
    <n v="7039619487"/>
    <s v="123 Elm St"/>
    <d v="2023-07-09T00:00:00"/>
    <x v="1"/>
    <s v="INS897079"/>
    <s v="david.wilson@mail.com"/>
    <s v="D006"/>
    <x v="2"/>
    <x v="0"/>
    <n v="6570137231"/>
    <n v="23"/>
    <x v="0"/>
    <s v="dr.alex.davis@hospital.com"/>
    <x v="58"/>
    <x v="32"/>
    <x v="3"/>
    <x v="2"/>
    <s v="T064"/>
    <x v="3"/>
    <s v="Basic screening"/>
    <n v="3815.93"/>
    <d v="2023-05-31T00:00:00"/>
    <s v="B064"/>
    <x v="35"/>
    <n v="3815.93"/>
    <x v="2"/>
    <x v="1"/>
  </r>
  <r>
    <s v="A065"/>
    <s v="P033"/>
    <s v="Michael Wilson"/>
    <x v="0"/>
    <d v="1970-02-06T00:00:00"/>
    <n v="7923214041"/>
    <s v="789 Pine Rd"/>
    <d v="2023-09-06T00:00:00"/>
    <x v="1"/>
    <s v="INS544209"/>
    <s v="michael.wilson@mail.com"/>
    <s v="D001"/>
    <x v="8"/>
    <x v="2"/>
    <n v="8322010158"/>
    <n v="17"/>
    <x v="2"/>
    <s v="dr.david.taylor@hospital.com"/>
    <x v="20"/>
    <x v="26"/>
    <x v="2"/>
    <x v="2"/>
    <s v="T065"/>
    <x v="2"/>
    <s v="Advanced protocol"/>
    <n v="4382.59"/>
    <d v="2023-04-24T00:00:00"/>
    <s v="B036"/>
    <x v="24"/>
    <n v="4833.17"/>
    <x v="2"/>
    <x v="0"/>
  </r>
  <r>
    <s v="A066"/>
    <s v="P033"/>
    <s v="Michael Wilson"/>
    <x v="0"/>
    <d v="1970-02-06T00:00:00"/>
    <n v="7923214041"/>
    <s v="789 Pine Rd"/>
    <d v="2023-09-06T00:00:00"/>
    <x v="1"/>
    <s v="INS544209"/>
    <s v="michael.wilson@mail.com"/>
    <s v="D009"/>
    <x v="0"/>
    <x v="0"/>
    <n v="7387087517"/>
    <n v="26"/>
    <x v="0"/>
    <s v="dr.sarah.smith@hospital.com"/>
    <x v="59"/>
    <x v="28"/>
    <x v="1"/>
    <x v="1"/>
    <s v="T066"/>
    <x v="2"/>
    <s v="Advanced protocol"/>
    <n v="1475.33"/>
    <d v="2023-05-10T00:00:00"/>
    <s v="B036"/>
    <x v="24"/>
    <n v="4833.17"/>
    <x v="2"/>
    <x v="0"/>
  </r>
  <r>
    <s v="A067"/>
    <s v="P043"/>
    <s v="Linda Brown"/>
    <x v="1"/>
    <d v="1980-03-25T00:00:00"/>
    <n v="9127665406"/>
    <s v="789 Pine Rd"/>
    <d v="2022-07-18T00:00:00"/>
    <x v="0"/>
    <s v="INS882355"/>
    <s v="linda.brown@mail.com"/>
    <s v="D001"/>
    <x v="8"/>
    <x v="2"/>
    <n v="8322010158"/>
    <n v="17"/>
    <x v="2"/>
    <s v="dr.david.taylor@hospital.com"/>
    <x v="60"/>
    <x v="14"/>
    <x v="4"/>
    <x v="0"/>
    <s v="T067"/>
    <x v="0"/>
    <s v="Standard procedure"/>
    <n v="930.72"/>
    <d v="2023-08-10T00:00:00"/>
    <s v="B067"/>
    <x v="36"/>
    <n v="930.72"/>
    <x v="1"/>
    <x v="0"/>
  </r>
  <r>
    <s v="A068"/>
    <s v="P037"/>
    <s v="Robert Williams"/>
    <x v="1"/>
    <d v="1999-02-05T00:00:00"/>
    <n v="8886800195"/>
    <s v="456 Oak Ave"/>
    <d v="2021-09-30T00:00:00"/>
    <x v="3"/>
    <s v="INS319963"/>
    <s v="robert.williams@mail.com"/>
    <s v="D005"/>
    <x v="9"/>
    <x v="2"/>
    <n v="9118538547"/>
    <n v="26"/>
    <x v="0"/>
    <s v="dr.sarah.taylor@hospital.com"/>
    <x v="61"/>
    <x v="27"/>
    <x v="3"/>
    <x v="0"/>
    <s v="T068"/>
    <x v="2"/>
    <s v="Advanced protocol"/>
    <n v="606.37"/>
    <d v="2023-03-14T00:00:00"/>
    <s v="B017"/>
    <x v="15"/>
    <n v="1655.49"/>
    <x v="1"/>
    <x v="0"/>
  </r>
  <r>
    <s v="A069"/>
    <s v="P012"/>
    <s v="Laura Davis"/>
    <x v="0"/>
    <d v="1991-12-08T00:00:00"/>
    <n v="8135666049"/>
    <s v="321 Maple Dr"/>
    <d v="2023-04-27T00:00:00"/>
    <x v="1"/>
    <s v="INS104014"/>
    <s v="laura.davis@mail.com"/>
    <s v="D004"/>
    <x v="1"/>
    <x v="0"/>
    <n v="6594221991"/>
    <n v="28"/>
    <x v="0"/>
    <s v="dr.david.jones@hospital.com"/>
    <x v="40"/>
    <x v="9"/>
    <x v="0"/>
    <x v="2"/>
    <s v="T069"/>
    <x v="1"/>
    <s v="Basic screening"/>
    <n v="3388.87"/>
    <d v="2023-03-29T00:00:00"/>
    <s v="B014"/>
    <x v="13"/>
    <n v="2082.3000000000002"/>
    <x v="1"/>
    <x v="1"/>
  </r>
  <r>
    <s v="A070"/>
    <s v="P003"/>
    <s v="Laura Jones"/>
    <x v="1"/>
    <d v="1977-08-21T00:00:00"/>
    <n v="8397029847"/>
    <s v="321 Maple Dr"/>
    <d v="2022-02-07T00:00:00"/>
    <x v="2"/>
    <s v="INS650929"/>
    <s v="laura.jones@mail.com"/>
    <s v="D003"/>
    <x v="3"/>
    <x v="0"/>
    <n v="8737740598"/>
    <n v="19"/>
    <x v="1"/>
    <s v="dr.jane.smith@hospital.com"/>
    <x v="62"/>
    <x v="15"/>
    <x v="4"/>
    <x v="0"/>
    <s v="T070"/>
    <x v="1"/>
    <s v="Basic screening"/>
    <n v="3231.92"/>
    <d v="2023-08-26T00:00:00"/>
    <s v="B013"/>
    <x v="12"/>
    <n v="4704.96"/>
    <x v="2"/>
    <x v="1"/>
  </r>
  <r>
    <s v="A071"/>
    <s v="P001"/>
    <s v="David Williams"/>
    <x v="0"/>
    <d v="1955-06-04T00:00:00"/>
    <n v="6939585183"/>
    <s v="789 Pine Rd"/>
    <d v="2022-06-23T00:00:00"/>
    <x v="0"/>
    <s v="INS840674"/>
    <s v="david.williams@mail.com"/>
    <s v="D006"/>
    <x v="2"/>
    <x v="0"/>
    <n v="6570137231"/>
    <n v="23"/>
    <x v="0"/>
    <s v="dr.alex.davis@hospital.com"/>
    <x v="63"/>
    <x v="15"/>
    <x v="4"/>
    <x v="0"/>
    <s v="T071"/>
    <x v="2"/>
    <s v="Advanced protocol"/>
    <n v="2960.14"/>
    <d v="2023-01-26T00:00:00"/>
    <s v="B007"/>
    <x v="6"/>
    <n v="534.03"/>
    <x v="2"/>
    <x v="2"/>
  </r>
  <r>
    <s v="A072"/>
    <s v="P033"/>
    <s v="Michael Wilson"/>
    <x v="0"/>
    <d v="1970-02-06T00:00:00"/>
    <n v="7923214041"/>
    <s v="789 Pine Rd"/>
    <d v="2023-09-06T00:00:00"/>
    <x v="1"/>
    <s v="INS544209"/>
    <s v="michael.wilson@mail.com"/>
    <s v="D002"/>
    <x v="6"/>
    <x v="0"/>
    <n v="9004382050"/>
    <n v="24"/>
    <x v="1"/>
    <s v="dr.jane.davis@hospital.com"/>
    <x v="64"/>
    <x v="33"/>
    <x v="3"/>
    <x v="0"/>
    <s v="T072"/>
    <x v="2"/>
    <s v="Advanced protocol"/>
    <n v="1543.76"/>
    <d v="2023-06-12T00:00:00"/>
    <s v="B036"/>
    <x v="24"/>
    <n v="4833.17"/>
    <x v="2"/>
    <x v="0"/>
  </r>
  <r>
    <s v="A073"/>
    <s v="P040"/>
    <s v="Emily Williams"/>
    <x v="1"/>
    <d v="1972-05-30T00:00:00"/>
    <n v="7587653815"/>
    <s v="456 Oak Ave"/>
    <d v="2021-10-16T00:00:00"/>
    <x v="2"/>
    <s v="INS320984"/>
    <s v="emily.williams@mail.com"/>
    <s v="D003"/>
    <x v="3"/>
    <x v="0"/>
    <n v="8737740598"/>
    <n v="19"/>
    <x v="1"/>
    <s v="dr.jane.smith@hospital.com"/>
    <x v="65"/>
    <x v="27"/>
    <x v="4"/>
    <x v="3"/>
    <s v="T073"/>
    <x v="0"/>
    <s v="Standard procedure"/>
    <n v="2259.08"/>
    <d v="2023-12-24T00:00:00"/>
    <s v="B005"/>
    <x v="4"/>
    <n v="582.04999999999995"/>
    <x v="1"/>
    <x v="0"/>
  </r>
  <r>
    <s v="A074"/>
    <s v="P010"/>
    <s v="Michael Taylor"/>
    <x v="1"/>
    <d v="2001-10-13T00:00:00"/>
    <n v="7081396733"/>
    <s v="123 Elm St"/>
    <d v="2022-08-24T00:00:00"/>
    <x v="0"/>
    <s v="INS866577"/>
    <s v="michael.taylor@mail.com"/>
    <s v="D005"/>
    <x v="9"/>
    <x v="2"/>
    <n v="9118538547"/>
    <n v="26"/>
    <x v="0"/>
    <s v="dr.sarah.taylor@hospital.com"/>
    <x v="66"/>
    <x v="33"/>
    <x v="0"/>
    <x v="1"/>
    <s v="T074"/>
    <x v="2"/>
    <s v="Advanced protocol"/>
    <n v="3175.14"/>
    <d v="2023-07-23T00:00:00"/>
    <s v="B040"/>
    <x v="26"/>
    <n v="695.36"/>
    <x v="2"/>
    <x v="2"/>
  </r>
  <r>
    <s v="A075"/>
    <s v="P043"/>
    <s v="Linda Brown"/>
    <x v="1"/>
    <d v="1980-03-25T00:00:00"/>
    <n v="9127665406"/>
    <s v="789 Pine Rd"/>
    <d v="2022-07-18T00:00:00"/>
    <x v="0"/>
    <s v="INS882355"/>
    <s v="linda.brown@mail.com"/>
    <s v="D009"/>
    <x v="0"/>
    <x v="0"/>
    <n v="7387087517"/>
    <n v="26"/>
    <x v="0"/>
    <s v="dr.sarah.smith@hospital.com"/>
    <x v="67"/>
    <x v="24"/>
    <x v="4"/>
    <x v="2"/>
    <s v="T075"/>
    <x v="0"/>
    <s v="Standard procedure"/>
    <n v="2735.45"/>
    <d v="2023-05-08T00:00:00"/>
    <s v="B067"/>
    <x v="36"/>
    <n v="930.72"/>
    <x v="1"/>
    <x v="0"/>
  </r>
  <r>
    <s v="A076"/>
    <s v="P044"/>
    <s v="Robert Taylor"/>
    <x v="0"/>
    <d v="1976-03-11T00:00:00"/>
    <n v="9449458981"/>
    <s v="321 Maple Dr"/>
    <d v="2023-01-26T00:00:00"/>
    <x v="2"/>
    <s v="INS364512"/>
    <s v="robert.taylor@mail.com"/>
    <s v="D002"/>
    <x v="6"/>
    <x v="0"/>
    <n v="9004382050"/>
    <n v="24"/>
    <x v="1"/>
    <s v="dr.jane.davis@hospital.com"/>
    <x v="68"/>
    <x v="12"/>
    <x v="0"/>
    <x v="2"/>
    <s v="T076"/>
    <x v="0"/>
    <s v="Standard procedure"/>
    <n v="4945.03"/>
    <d v="2023-11-27T00:00:00"/>
    <s v="B076"/>
    <x v="37"/>
    <n v="4945.03"/>
    <x v="1"/>
    <x v="0"/>
  </r>
  <r>
    <s v="A077"/>
    <s v="P029"/>
    <s v="David Smith"/>
    <x v="1"/>
    <d v="2005-05-15T00:00:00"/>
    <n v="8923607677"/>
    <s v="789 Pine Rd"/>
    <d v="2023-04-19T00:00:00"/>
    <x v="3"/>
    <s v="INS630089"/>
    <s v="david.smith@mail.com"/>
    <s v="D010"/>
    <x v="5"/>
    <x v="1"/>
    <n v="6176383634"/>
    <n v="21"/>
    <x v="1"/>
    <s v="dr.linda.wilson@hospital.com"/>
    <x v="69"/>
    <x v="13"/>
    <x v="3"/>
    <x v="3"/>
    <s v="T077"/>
    <x v="2"/>
    <s v="Basic screening"/>
    <n v="1113.98"/>
    <d v="2023-12-14T00:00:00"/>
    <s v="B012"/>
    <x v="11"/>
    <n v="771.2"/>
    <x v="0"/>
    <x v="0"/>
  </r>
  <r>
    <s v="A078"/>
    <s v="P013"/>
    <s v="Laura Johnson"/>
    <x v="0"/>
    <d v="1990-03-28T00:00:00"/>
    <n v="9059178882"/>
    <s v="321 Maple Dr"/>
    <d v="2021-12-23T00:00:00"/>
    <x v="0"/>
    <s v="INS373237"/>
    <s v="laura.johnson@mail.com"/>
    <s v="D008"/>
    <x v="7"/>
    <x v="2"/>
    <n v="9069162601"/>
    <n v="5"/>
    <x v="2"/>
    <s v="dr.linda.brown@hospital.com"/>
    <x v="70"/>
    <x v="25"/>
    <x v="1"/>
    <x v="1"/>
    <s v="T078"/>
    <x v="4"/>
    <s v="Basic screening"/>
    <n v="3628.15"/>
    <d v="2023-09-17T00:00:00"/>
    <s v="B078"/>
    <x v="38"/>
    <n v="3628.15"/>
    <x v="1"/>
    <x v="1"/>
  </r>
  <r>
    <s v="A079"/>
    <s v="P012"/>
    <s v="Laura Davis"/>
    <x v="0"/>
    <d v="1991-12-08T00:00:00"/>
    <n v="8135666049"/>
    <s v="321 Maple Dr"/>
    <d v="2023-04-27T00:00:00"/>
    <x v="1"/>
    <s v="INS104014"/>
    <s v="laura.davis@mail.com"/>
    <s v="D002"/>
    <x v="6"/>
    <x v="0"/>
    <n v="9004382050"/>
    <n v="24"/>
    <x v="1"/>
    <s v="dr.jane.davis@hospital.com"/>
    <x v="71"/>
    <x v="24"/>
    <x v="4"/>
    <x v="2"/>
    <s v="T079"/>
    <x v="4"/>
    <s v="Basic screening"/>
    <n v="2319.4299999999998"/>
    <d v="2023-12-26T00:00:00"/>
    <s v="B014"/>
    <x v="13"/>
    <n v="2082.3000000000002"/>
    <x v="1"/>
    <x v="1"/>
  </r>
  <r>
    <s v="A080"/>
    <s v="P031"/>
    <s v="Robert Miller"/>
    <x v="1"/>
    <d v="1987-01-14T00:00:00"/>
    <n v="8280346676"/>
    <s v="321 Maple Dr"/>
    <d v="2022-06-28T00:00:00"/>
    <x v="0"/>
    <s v="INS542905"/>
    <s v="robert.miller@mail.com"/>
    <s v="D005"/>
    <x v="9"/>
    <x v="2"/>
    <n v="9118538547"/>
    <n v="26"/>
    <x v="0"/>
    <s v="dr.sarah.taylor@hospital.com"/>
    <x v="72"/>
    <x v="32"/>
    <x v="1"/>
    <x v="0"/>
    <s v="T080"/>
    <x v="0"/>
    <s v="Basic screening"/>
    <n v="2426.9"/>
    <d v="2023-06-26T00:00:00"/>
    <s v="B044"/>
    <x v="27"/>
    <n v="4186.3500000000004"/>
    <x v="0"/>
    <x v="1"/>
  </r>
  <r>
    <s v="A081"/>
    <s v="P046"/>
    <s v="Michael Taylor"/>
    <x v="0"/>
    <d v="1986-09-01T00:00:00"/>
    <n v="8019925828"/>
    <s v="456 Oak Ave"/>
    <d v="2021-07-31T00:00:00"/>
    <x v="1"/>
    <s v="INS368799"/>
    <s v="michael.taylor@mail.com"/>
    <s v="D007"/>
    <x v="4"/>
    <x v="1"/>
    <n v="8217493115"/>
    <n v="26"/>
    <x v="2"/>
    <s v="dr.robert.davis@hospital.com"/>
    <x v="73"/>
    <x v="33"/>
    <x v="0"/>
    <x v="2"/>
    <s v="T081"/>
    <x v="2"/>
    <s v="Advanced protocol"/>
    <n v="3729.19"/>
    <d v="2023-01-06T00:00:00"/>
    <s v="B026"/>
    <x v="21"/>
    <n v="2360.9699999999998"/>
    <x v="0"/>
    <x v="1"/>
  </r>
  <r>
    <s v="A082"/>
    <s v="P002"/>
    <s v="Emily Smith"/>
    <x v="0"/>
    <d v="1984-10-12T00:00:00"/>
    <n v="8228188767"/>
    <s v="321 Maple Dr"/>
    <d v="2022-01-15T00:00:00"/>
    <x v="2"/>
    <s v="INS354079"/>
    <s v="emily.smith@mail.com"/>
    <s v="D008"/>
    <x v="7"/>
    <x v="2"/>
    <n v="9069162601"/>
    <n v="5"/>
    <x v="2"/>
    <s v="dr.linda.brown@hospital.com"/>
    <x v="74"/>
    <x v="20"/>
    <x v="4"/>
    <x v="0"/>
    <s v="T082"/>
    <x v="4"/>
    <s v="Basic screening"/>
    <n v="3615.96"/>
    <d v="2023-01-20T00:00:00"/>
    <s v="B055"/>
    <x v="31"/>
    <n v="1736.63"/>
    <x v="2"/>
    <x v="2"/>
  </r>
  <r>
    <s v="A083"/>
    <s v="P050"/>
    <s v="Laura Wilson"/>
    <x v="1"/>
    <d v="1993-12-27T00:00:00"/>
    <n v="8301134730"/>
    <s v="321 Maple Dr"/>
    <d v="2023-04-28T00:00:00"/>
    <x v="0"/>
    <s v="INS712210"/>
    <s v="laura.wilson@mail.com"/>
    <s v="D001"/>
    <x v="8"/>
    <x v="2"/>
    <n v="8322010158"/>
    <n v="17"/>
    <x v="2"/>
    <s v="dr.david.taylor@hospital.com"/>
    <x v="75"/>
    <x v="23"/>
    <x v="2"/>
    <x v="3"/>
    <s v="T083"/>
    <x v="2"/>
    <s v="Advanced protocol"/>
    <n v="4960.6499999999996"/>
    <d v="2023-11-07T00:00:00"/>
    <s v="B063"/>
    <x v="34"/>
    <n v="1256.06"/>
    <x v="0"/>
    <x v="2"/>
  </r>
  <r>
    <s v="A084"/>
    <s v="P035"/>
    <s v="David Wilson"/>
    <x v="0"/>
    <d v="1993-04-13T00:00:00"/>
    <n v="7039619487"/>
    <s v="123 Elm St"/>
    <d v="2023-07-09T00:00:00"/>
    <x v="1"/>
    <s v="INS897079"/>
    <s v="david.wilson@mail.com"/>
    <s v="D006"/>
    <x v="2"/>
    <x v="0"/>
    <n v="6570137231"/>
    <n v="23"/>
    <x v="0"/>
    <s v="dr.alex.davis@hospital.com"/>
    <x v="58"/>
    <x v="10"/>
    <x v="1"/>
    <x v="0"/>
    <s v="T084"/>
    <x v="2"/>
    <s v="Basic screening"/>
    <n v="1077.77"/>
    <d v="2023-05-31T00:00:00"/>
    <s v="B064"/>
    <x v="35"/>
    <n v="3815.93"/>
    <x v="2"/>
    <x v="1"/>
  </r>
  <r>
    <s v="A085"/>
    <s v="P023"/>
    <s v="Linda Johnson"/>
    <x v="1"/>
    <d v="1994-02-22T00:00:00"/>
    <n v="6141951830"/>
    <s v="789 Pine Rd"/>
    <d v="2021-12-27T00:00:00"/>
    <x v="0"/>
    <s v="INS730152"/>
    <s v="linda.johnson@mail.com"/>
    <s v="D001"/>
    <x v="8"/>
    <x v="2"/>
    <n v="8322010158"/>
    <n v="17"/>
    <x v="2"/>
    <s v="dr.david.taylor@hospital.com"/>
    <x v="76"/>
    <x v="5"/>
    <x v="4"/>
    <x v="2"/>
    <s v="T085"/>
    <x v="2"/>
    <s v="Advanced protocol"/>
    <n v="968.49"/>
    <d v="2023-02-18T00:00:00"/>
    <s v="B039"/>
    <x v="25"/>
    <n v="2976.02"/>
    <x v="0"/>
    <x v="2"/>
  </r>
  <r>
    <s v="A086"/>
    <s v="P017"/>
    <s v="Jane Jones"/>
    <x v="1"/>
    <d v="1991-05-01T00:00:00"/>
    <n v="6158428240"/>
    <s v="456 Oak Ave"/>
    <d v="2022-09-26T00:00:00"/>
    <x v="0"/>
    <s v="INS182074"/>
    <s v="jane.jones@mail.com"/>
    <s v="D002"/>
    <x v="6"/>
    <x v="0"/>
    <n v="9004382050"/>
    <n v="24"/>
    <x v="1"/>
    <s v="dr.jane.davis@hospital.com"/>
    <x v="25"/>
    <x v="14"/>
    <x v="1"/>
    <x v="2"/>
    <s v="T086"/>
    <x v="3"/>
    <s v="Standard procedure"/>
    <n v="3759.52"/>
    <d v="2023-10-29T00:00:00"/>
    <s v="B086"/>
    <x v="39"/>
    <n v="3759.52"/>
    <x v="2"/>
    <x v="0"/>
  </r>
  <r>
    <s v="A087"/>
    <s v="P026"/>
    <s v="John Taylor"/>
    <x v="1"/>
    <d v="2003-11-28T00:00:00"/>
    <n v="9900972256"/>
    <s v="123 Elm St"/>
    <d v="2021-05-13T00:00:00"/>
    <x v="1"/>
    <s v="INS598863"/>
    <s v="john.taylor@mail.com"/>
    <s v="D001"/>
    <x v="8"/>
    <x v="2"/>
    <n v="8322010158"/>
    <n v="17"/>
    <x v="2"/>
    <s v="dr.david.taylor@hospital.com"/>
    <x v="77"/>
    <x v="34"/>
    <x v="4"/>
    <x v="2"/>
    <s v="T087"/>
    <x v="2"/>
    <s v="Advanced protocol"/>
    <n v="3102.74"/>
    <d v="2023-10-19T00:00:00"/>
    <s v="B015"/>
    <x v="14"/>
    <n v="956.39"/>
    <x v="0"/>
    <x v="0"/>
  </r>
  <r>
    <s v="A088"/>
    <s v="P008"/>
    <s v="David Davis"/>
    <x v="0"/>
    <d v="1976-07-05T00:00:00"/>
    <n v="7090558393"/>
    <s v="456 Oak Ave"/>
    <d v="2021-05-25T00:00:00"/>
    <x v="0"/>
    <s v="INS545101"/>
    <s v="david.davis@mail.com"/>
    <s v="D005"/>
    <x v="9"/>
    <x v="2"/>
    <n v="9118538547"/>
    <n v="26"/>
    <x v="0"/>
    <s v="dr.sarah.taylor@hospital.com"/>
    <x v="44"/>
    <x v="35"/>
    <x v="3"/>
    <x v="3"/>
    <s v="T088"/>
    <x v="3"/>
    <s v="Advanced protocol"/>
    <n v="1733.72"/>
    <d v="2023-05-02T00:00:00"/>
    <s v="B088"/>
    <x v="40"/>
    <n v="1733.72"/>
    <x v="2"/>
    <x v="1"/>
  </r>
  <r>
    <s v="A089"/>
    <s v="P029"/>
    <s v="David Smith"/>
    <x v="1"/>
    <d v="2005-05-15T00:00:00"/>
    <n v="8923607677"/>
    <s v="789 Pine Rd"/>
    <d v="2023-04-19T00:00:00"/>
    <x v="3"/>
    <s v="INS630089"/>
    <s v="david.smith@mail.com"/>
    <s v="D010"/>
    <x v="5"/>
    <x v="1"/>
    <n v="6176383634"/>
    <n v="21"/>
    <x v="1"/>
    <s v="dr.linda.wilson@hospital.com"/>
    <x v="78"/>
    <x v="14"/>
    <x v="1"/>
    <x v="3"/>
    <s v="T089"/>
    <x v="0"/>
    <s v="Basic screening"/>
    <n v="857.39"/>
    <d v="2023-02-14T00:00:00"/>
    <s v="B012"/>
    <x v="11"/>
    <n v="771.2"/>
    <x v="0"/>
    <x v="0"/>
  </r>
  <r>
    <s v="A090"/>
    <s v="P026"/>
    <s v="John Taylor"/>
    <x v="1"/>
    <d v="2003-11-28T00:00:00"/>
    <n v="9900972256"/>
    <s v="123 Elm St"/>
    <d v="2021-05-13T00:00:00"/>
    <x v="1"/>
    <s v="INS598863"/>
    <s v="john.taylor@mail.com"/>
    <s v="D009"/>
    <x v="0"/>
    <x v="0"/>
    <n v="7387087517"/>
    <n v="26"/>
    <x v="0"/>
    <s v="dr.sarah.smith@hospital.com"/>
    <x v="79"/>
    <x v="30"/>
    <x v="2"/>
    <x v="1"/>
    <s v="T090"/>
    <x v="4"/>
    <s v="Advanced protocol"/>
    <n v="885.46"/>
    <d v="2023-06-01T00:00:00"/>
    <s v="B015"/>
    <x v="14"/>
    <n v="956.39"/>
    <x v="0"/>
    <x v="0"/>
  </r>
  <r>
    <s v="A091"/>
    <s v="P010"/>
    <s v="Michael Taylor"/>
    <x v="1"/>
    <d v="2001-10-13T00:00:00"/>
    <n v="7081396733"/>
    <s v="123 Elm St"/>
    <d v="2022-08-24T00:00:00"/>
    <x v="0"/>
    <s v="INS866577"/>
    <s v="michael.taylor@mail.com"/>
    <s v="D006"/>
    <x v="2"/>
    <x v="0"/>
    <n v="6570137231"/>
    <n v="23"/>
    <x v="0"/>
    <s v="dr.alex.davis@hospital.com"/>
    <x v="80"/>
    <x v="19"/>
    <x v="2"/>
    <x v="2"/>
    <s v="T091"/>
    <x v="4"/>
    <s v="Standard procedure"/>
    <n v="4523.8599999999997"/>
    <d v="2023-06-11T00:00:00"/>
    <s v="B040"/>
    <x v="26"/>
    <n v="695.36"/>
    <x v="2"/>
    <x v="2"/>
  </r>
  <r>
    <s v="A092"/>
    <s v="P026"/>
    <s v="John Taylor"/>
    <x v="1"/>
    <d v="2003-11-28T00:00:00"/>
    <n v="9900972256"/>
    <s v="123 Elm St"/>
    <d v="2021-05-13T00:00:00"/>
    <x v="1"/>
    <s v="INS598863"/>
    <s v="john.taylor@mail.com"/>
    <s v="D001"/>
    <x v="8"/>
    <x v="2"/>
    <n v="8322010158"/>
    <n v="17"/>
    <x v="2"/>
    <s v="dr.david.taylor@hospital.com"/>
    <x v="81"/>
    <x v="18"/>
    <x v="0"/>
    <x v="0"/>
    <s v="T092"/>
    <x v="4"/>
    <s v="Standard procedure"/>
    <n v="1363.4"/>
    <d v="2023-01-30T00:00:00"/>
    <s v="B015"/>
    <x v="14"/>
    <n v="956.39"/>
    <x v="0"/>
    <x v="0"/>
  </r>
  <r>
    <s v="A093"/>
    <s v="P034"/>
    <s v="Alex Smith"/>
    <x v="0"/>
    <d v="1950-01-26T00:00:00"/>
    <n v="8374657733"/>
    <s v="321 Maple Dr"/>
    <d v="2023-06-18T00:00:00"/>
    <x v="0"/>
    <s v="INS653880"/>
    <s v="alex.smith@mail.com"/>
    <s v="D001"/>
    <x v="8"/>
    <x v="2"/>
    <n v="8322010158"/>
    <n v="17"/>
    <x v="2"/>
    <s v="dr.david.taylor@hospital.com"/>
    <x v="6"/>
    <x v="29"/>
    <x v="4"/>
    <x v="3"/>
    <s v="T093"/>
    <x v="4"/>
    <s v="Basic screening"/>
    <n v="1955.17"/>
    <d v="2023-04-09T00:00:00"/>
    <s v="B001"/>
    <x v="0"/>
    <n v="3941.97"/>
    <x v="0"/>
    <x v="0"/>
  </r>
  <r>
    <s v="A094"/>
    <s v="P041"/>
    <s v="Robert Williams"/>
    <x v="1"/>
    <d v="1951-06-19T00:00:00"/>
    <n v="7020645498"/>
    <s v="456 Oak Ave"/>
    <d v="2022-07-16T00:00:00"/>
    <x v="0"/>
    <s v="INS997059"/>
    <s v="robert.williams@mail.com"/>
    <s v="D002"/>
    <x v="6"/>
    <x v="0"/>
    <n v="9004382050"/>
    <n v="24"/>
    <x v="1"/>
    <s v="dr.jane.davis@hospital.com"/>
    <x v="82"/>
    <x v="7"/>
    <x v="1"/>
    <x v="2"/>
    <s v="T094"/>
    <x v="4"/>
    <s v="Standard procedure"/>
    <n v="1519.95"/>
    <d v="2023-04-08T00:00:00"/>
    <s v="B094"/>
    <x v="41"/>
    <n v="1519.95"/>
    <x v="2"/>
    <x v="2"/>
  </r>
  <r>
    <s v="A095"/>
    <s v="P007"/>
    <s v="Alex Johnson"/>
    <x v="0"/>
    <d v="1989-06-08T00:00:00"/>
    <n v="6278710077"/>
    <s v="789 Pine Rd"/>
    <d v="2021-12-25T00:00:00"/>
    <x v="1"/>
    <s v="INS465890"/>
    <s v="alex.johnson@mail.com"/>
    <s v="D009"/>
    <x v="0"/>
    <x v="0"/>
    <n v="7387087517"/>
    <n v="26"/>
    <x v="0"/>
    <s v="dr.sarah.smith@hospital.com"/>
    <x v="21"/>
    <x v="36"/>
    <x v="0"/>
    <x v="2"/>
    <s v="T095"/>
    <x v="4"/>
    <s v="Advanced protocol"/>
    <n v="2097.48"/>
    <d v="2023-05-09T00:00:00"/>
    <s v="B095"/>
    <x v="18"/>
    <n v="2097.48"/>
    <x v="2"/>
    <x v="2"/>
  </r>
  <r>
    <s v="A096"/>
    <s v="P004"/>
    <s v="Michael Johnson"/>
    <x v="0"/>
    <d v="1981-02-20T00:00:00"/>
    <n v="9019443432"/>
    <s v="123 Elm St"/>
    <d v="2021-03-02T00:00:00"/>
    <x v="3"/>
    <s v="INS789944"/>
    <s v="michael.johnson@mail.com"/>
    <s v="D003"/>
    <x v="3"/>
    <x v="0"/>
    <n v="8737740598"/>
    <n v="19"/>
    <x v="1"/>
    <s v="dr.jane.smith@hospital.com"/>
    <x v="83"/>
    <x v="27"/>
    <x v="1"/>
    <x v="3"/>
    <s v="T096"/>
    <x v="4"/>
    <s v="Standard procedure"/>
    <n v="812.41"/>
    <d v="2023-07-07T00:00:00"/>
    <s v="B051"/>
    <x v="29"/>
    <n v="4550.1000000000004"/>
    <x v="1"/>
    <x v="2"/>
  </r>
  <r>
    <s v="A097"/>
    <s v="P050"/>
    <s v="Laura Wilson"/>
    <x v="1"/>
    <d v="1993-12-27T00:00:00"/>
    <n v="8301134730"/>
    <s v="321 Maple Dr"/>
    <d v="2023-04-28T00:00:00"/>
    <x v="0"/>
    <s v="INS712210"/>
    <s v="laura.wilson@mail.com"/>
    <s v="D001"/>
    <x v="8"/>
    <x v="2"/>
    <n v="8322010158"/>
    <n v="17"/>
    <x v="2"/>
    <s v="dr.david.taylor@hospital.com"/>
    <x v="84"/>
    <x v="37"/>
    <x v="4"/>
    <x v="1"/>
    <s v="T097"/>
    <x v="0"/>
    <s v="Basic screening"/>
    <n v="2835.77"/>
    <d v="2023-05-06T00:00:00"/>
    <s v="B063"/>
    <x v="34"/>
    <n v="1256.06"/>
    <x v="0"/>
    <x v="2"/>
  </r>
  <r>
    <s v="A098"/>
    <s v="P045"/>
    <s v="Linda Miller"/>
    <x v="0"/>
    <d v="1966-04-25T00:00:00"/>
    <n v="7579616535"/>
    <s v="321 Maple Dr"/>
    <d v="2021-01-23T00:00:00"/>
    <x v="1"/>
    <s v="INS701863"/>
    <s v="linda.miller@mail.com"/>
    <s v="D005"/>
    <x v="9"/>
    <x v="2"/>
    <n v="9118538547"/>
    <n v="26"/>
    <x v="0"/>
    <s v="dr.sarah.taylor@hospital.com"/>
    <x v="24"/>
    <x v="17"/>
    <x v="2"/>
    <x v="3"/>
    <s v="T098"/>
    <x v="2"/>
    <s v="Advanced protocol"/>
    <n v="804.26"/>
    <d v="2023-03-17T00:00:00"/>
    <s v="B006"/>
    <x v="5"/>
    <n v="1381"/>
    <x v="0"/>
    <x v="0"/>
  </r>
  <r>
    <s v="A099"/>
    <s v="P011"/>
    <s v="Emily Jones"/>
    <x v="0"/>
    <d v="1966-12-04T00:00:00"/>
    <n v="8990604070"/>
    <s v="789 Pine Rd"/>
    <d v="2022-09-27T00:00:00"/>
    <x v="1"/>
    <s v="INS172991"/>
    <s v="emily.jones@mail.com"/>
    <s v="D007"/>
    <x v="4"/>
    <x v="1"/>
    <n v="8217493115"/>
    <n v="26"/>
    <x v="2"/>
    <s v="dr.robert.davis@hospital.com"/>
    <x v="85"/>
    <x v="27"/>
    <x v="3"/>
    <x v="3"/>
    <s v="T099"/>
    <x v="1"/>
    <s v="Basic screening"/>
    <n v="4101.6000000000004"/>
    <d v="2023-07-04T00:00:00"/>
    <s v="B099"/>
    <x v="42"/>
    <n v="4101.6000000000004"/>
    <x v="1"/>
    <x v="0"/>
  </r>
  <r>
    <s v="A100"/>
    <s v="P029"/>
    <s v="David Smith"/>
    <x v="1"/>
    <d v="2005-05-15T00:00:00"/>
    <n v="8923607677"/>
    <s v="789 Pine Rd"/>
    <d v="2023-04-19T00:00:00"/>
    <x v="3"/>
    <s v="INS630089"/>
    <s v="david.smith@mail.com"/>
    <s v="D006"/>
    <x v="2"/>
    <x v="0"/>
    <n v="6570137231"/>
    <n v="23"/>
    <x v="0"/>
    <s v="dr.alex.davis@hospital.com"/>
    <x v="86"/>
    <x v="2"/>
    <x v="2"/>
    <x v="0"/>
    <s v="T100"/>
    <x v="3"/>
    <s v="Advanced protocol"/>
    <n v="1551.7"/>
    <d v="2023-03-02T00:00:00"/>
    <s v="B012"/>
    <x v="11"/>
    <n v="771.2"/>
    <x v="0"/>
    <x v="0"/>
  </r>
  <r>
    <s v="A101"/>
    <s v="P036"/>
    <s v="Michael Wilson"/>
    <x v="1"/>
    <d v="1997-12-26T00:00:00"/>
    <n v="8545613046"/>
    <s v="123 Elm St"/>
    <d v="2022-10-04T00:00:00"/>
    <x v="1"/>
    <s v="INS764076"/>
    <s v="michael.wilson@mail.com"/>
    <s v="D001"/>
    <x v="8"/>
    <x v="2"/>
    <n v="8322010158"/>
    <n v="17"/>
    <x v="2"/>
    <s v="dr.david.taylor@hospital.com"/>
    <x v="87"/>
    <x v="19"/>
    <x v="0"/>
    <x v="0"/>
    <s v="T101"/>
    <x v="1"/>
    <s v="Standard procedure"/>
    <n v="2930.05"/>
    <d v="2023-09-21T00:00:00"/>
    <s v="B035"/>
    <x v="23"/>
    <n v="1654.53"/>
    <x v="0"/>
    <x v="2"/>
  </r>
  <r>
    <s v="A102"/>
    <s v="P025"/>
    <s v="Robert Wilson"/>
    <x v="1"/>
    <d v="1966-08-14T00:00:00"/>
    <n v="7482069727"/>
    <s v="123 Elm St"/>
    <d v="2021-09-09T00:00:00"/>
    <x v="3"/>
    <s v="INS833429"/>
    <s v="robert.wilson@mail.com"/>
    <s v="D005"/>
    <x v="9"/>
    <x v="2"/>
    <n v="9118538547"/>
    <n v="26"/>
    <x v="0"/>
    <s v="dr.sarah.taylor@hospital.com"/>
    <x v="88"/>
    <x v="31"/>
    <x v="3"/>
    <x v="1"/>
    <s v="T102"/>
    <x v="1"/>
    <s v="Basic screening"/>
    <n v="4460.3599999999997"/>
    <d v="2023-10-25T00:00:00"/>
    <s v="B004"/>
    <x v="3"/>
    <n v="4799.8599999999997"/>
    <x v="0"/>
    <x v="2"/>
  </r>
  <r>
    <s v="A103"/>
    <s v="P021"/>
    <s v="Michael Wilson"/>
    <x v="1"/>
    <d v="2002-03-01T00:00:00"/>
    <n v="7765390555"/>
    <s v="321 Maple Dr"/>
    <d v="2022-01-19T00:00:00"/>
    <x v="0"/>
    <s v="INS297392"/>
    <s v="michael.wilson@mail.com"/>
    <s v="D005"/>
    <x v="9"/>
    <x v="2"/>
    <n v="9118538547"/>
    <n v="26"/>
    <x v="0"/>
    <s v="dr.sarah.taylor@hospital.com"/>
    <x v="89"/>
    <x v="32"/>
    <x v="0"/>
    <x v="2"/>
    <s v="T103"/>
    <x v="2"/>
    <s v="Basic screening"/>
    <n v="3428.95"/>
    <d v="2023-01-24T00:00:00"/>
    <s v="B033"/>
    <x v="22"/>
    <n v="980.95"/>
    <x v="1"/>
    <x v="1"/>
  </r>
  <r>
    <s v="A104"/>
    <s v="P036"/>
    <s v="Michael Wilson"/>
    <x v="1"/>
    <d v="1997-12-26T00:00:00"/>
    <n v="8545613046"/>
    <s v="123 Elm St"/>
    <d v="2022-10-04T00:00:00"/>
    <x v="1"/>
    <s v="INS764076"/>
    <s v="michael.wilson@mail.com"/>
    <s v="D006"/>
    <x v="2"/>
    <x v="0"/>
    <n v="6570137231"/>
    <n v="23"/>
    <x v="0"/>
    <s v="dr.alex.davis@hospital.com"/>
    <x v="32"/>
    <x v="7"/>
    <x v="4"/>
    <x v="3"/>
    <s v="T104"/>
    <x v="2"/>
    <s v="Advanced protocol"/>
    <n v="2898.31"/>
    <d v="2023-04-18T00:00:00"/>
    <s v="B035"/>
    <x v="23"/>
    <n v="1654.53"/>
    <x v="0"/>
    <x v="2"/>
  </r>
  <r>
    <s v="A105"/>
    <s v="P010"/>
    <s v="Michael Taylor"/>
    <x v="1"/>
    <d v="2001-10-13T00:00:00"/>
    <n v="7081396733"/>
    <s v="123 Elm St"/>
    <d v="2022-08-24T00:00:00"/>
    <x v="0"/>
    <s v="INS866577"/>
    <s v="michael.taylor@mail.com"/>
    <s v="D003"/>
    <x v="3"/>
    <x v="0"/>
    <n v="8737740598"/>
    <n v="19"/>
    <x v="1"/>
    <s v="dr.jane.smith@hospital.com"/>
    <x v="90"/>
    <x v="10"/>
    <x v="3"/>
    <x v="1"/>
    <s v="T105"/>
    <x v="2"/>
    <s v="Basic screening"/>
    <n v="1959.5"/>
    <d v="2023-08-14T00:00:00"/>
    <s v="B040"/>
    <x v="26"/>
    <n v="695.36"/>
    <x v="2"/>
    <x v="2"/>
  </r>
  <r>
    <s v="A106"/>
    <s v="P037"/>
    <s v="Robert Williams"/>
    <x v="1"/>
    <d v="1999-02-05T00:00:00"/>
    <n v="8886800195"/>
    <s v="456 Oak Ave"/>
    <d v="2021-09-30T00:00:00"/>
    <x v="3"/>
    <s v="INS319963"/>
    <s v="robert.williams@mail.com"/>
    <s v="D005"/>
    <x v="9"/>
    <x v="2"/>
    <n v="9118538547"/>
    <n v="26"/>
    <x v="0"/>
    <s v="dr.sarah.taylor@hospital.com"/>
    <x v="25"/>
    <x v="25"/>
    <x v="0"/>
    <x v="0"/>
    <s v="T106"/>
    <x v="4"/>
    <s v="Advanced protocol"/>
    <n v="1998.51"/>
    <d v="2023-10-29T00:00:00"/>
    <s v="B017"/>
    <x v="15"/>
    <n v="1655.49"/>
    <x v="1"/>
    <x v="0"/>
  </r>
  <r>
    <s v="A107"/>
    <s v="P009"/>
    <s v="Laura Davis"/>
    <x v="1"/>
    <d v="1971-12-11T00:00:00"/>
    <n v="7060324619"/>
    <s v="321 Maple Dr"/>
    <d v="2022-09-18T00:00:00"/>
    <x v="2"/>
    <s v="INS136631"/>
    <s v="laura.davis@mail.com"/>
    <s v="D007"/>
    <x v="4"/>
    <x v="1"/>
    <n v="8217493115"/>
    <n v="26"/>
    <x v="2"/>
    <s v="dr.robert.davis@hospital.com"/>
    <x v="36"/>
    <x v="8"/>
    <x v="4"/>
    <x v="3"/>
    <s v="T107"/>
    <x v="0"/>
    <s v="Advanced protocol"/>
    <n v="3512.69"/>
    <d v="2023-04-17T00:00:00"/>
    <s v="B107"/>
    <x v="25"/>
    <n v="3512.69"/>
    <x v="1"/>
    <x v="0"/>
  </r>
  <r>
    <s v="A108"/>
    <s v="P024"/>
    <s v="Sarah Brown"/>
    <x v="0"/>
    <d v="1991-11-04T00:00:00"/>
    <n v="7196777444"/>
    <s v="321 Maple Dr"/>
    <d v="2021-09-02T00:00:00"/>
    <x v="0"/>
    <s v="INS493002"/>
    <s v="sarah.brown@mail.com"/>
    <s v="D005"/>
    <x v="9"/>
    <x v="2"/>
    <n v="9118538547"/>
    <n v="26"/>
    <x v="0"/>
    <s v="dr.sarah.taylor@hospital.com"/>
    <x v="91"/>
    <x v="27"/>
    <x v="2"/>
    <x v="2"/>
    <s v="T108"/>
    <x v="4"/>
    <s v="Advanced protocol"/>
    <n v="4973.63"/>
    <d v="2023-04-21T00:00:00"/>
    <s v="B053"/>
    <x v="30"/>
    <n v="1565.92"/>
    <x v="0"/>
    <x v="0"/>
  </r>
  <r>
    <s v="A109"/>
    <s v="P035"/>
    <s v="David Wilson"/>
    <x v="0"/>
    <d v="1993-04-13T00:00:00"/>
    <n v="7039619487"/>
    <s v="123 Elm St"/>
    <d v="2023-07-09T00:00:00"/>
    <x v="1"/>
    <s v="INS897079"/>
    <s v="david.wilson@mail.com"/>
    <s v="D005"/>
    <x v="9"/>
    <x v="2"/>
    <n v="9118538547"/>
    <n v="26"/>
    <x v="0"/>
    <s v="dr.sarah.taylor@hospital.com"/>
    <x v="92"/>
    <x v="24"/>
    <x v="4"/>
    <x v="0"/>
    <s v="T109"/>
    <x v="0"/>
    <s v="Advanced protocol"/>
    <n v="3478.28"/>
    <d v="2023-07-29T00:00:00"/>
    <s v="B064"/>
    <x v="35"/>
    <n v="3815.93"/>
    <x v="2"/>
    <x v="1"/>
  </r>
  <r>
    <s v="A110"/>
    <s v="P049"/>
    <s v="David Moore"/>
    <x v="1"/>
    <d v="1972-11-26T00:00:00"/>
    <n v="7712937941"/>
    <s v="321 Maple Dr"/>
    <d v="2023-06-14T00:00:00"/>
    <x v="1"/>
    <s v="INS584299"/>
    <s v="david.moore@mail.com"/>
    <s v="D005"/>
    <x v="9"/>
    <x v="2"/>
    <n v="9118538547"/>
    <n v="26"/>
    <x v="0"/>
    <s v="dr.sarah.taylor@hospital.com"/>
    <x v="93"/>
    <x v="1"/>
    <x v="1"/>
    <x v="0"/>
    <s v="T110"/>
    <x v="0"/>
    <s v="Standard procedure"/>
    <n v="3010.03"/>
    <d v="2023-07-19T00:00:00"/>
    <s v="B024"/>
    <x v="19"/>
    <n v="3722.68"/>
    <x v="2"/>
    <x v="0"/>
  </r>
  <r>
    <s v="A111"/>
    <s v="P035"/>
    <s v="David Wilson"/>
    <x v="0"/>
    <d v="1993-04-13T00:00:00"/>
    <n v="7039619487"/>
    <s v="123 Elm St"/>
    <d v="2023-07-09T00:00:00"/>
    <x v="1"/>
    <s v="INS897079"/>
    <s v="david.wilson@mail.com"/>
    <s v="D010"/>
    <x v="5"/>
    <x v="1"/>
    <n v="6176383634"/>
    <n v="21"/>
    <x v="1"/>
    <s v="dr.linda.wilson@hospital.com"/>
    <x v="94"/>
    <x v="9"/>
    <x v="4"/>
    <x v="0"/>
    <s v="T111"/>
    <x v="1"/>
    <s v="Advanced protocol"/>
    <n v="3787.93"/>
    <d v="2023-05-22T00:00:00"/>
    <s v="B064"/>
    <x v="35"/>
    <n v="3815.93"/>
    <x v="2"/>
    <x v="1"/>
  </r>
  <r>
    <s v="A112"/>
    <s v="P048"/>
    <s v="Emily Miller"/>
    <x v="1"/>
    <d v="1983-03-24T00:00:00"/>
    <n v="8720989381"/>
    <s v="123 Elm St"/>
    <d v="2023-06-19T00:00:00"/>
    <x v="2"/>
    <s v="INS694319"/>
    <s v="emily.miller@mail.com"/>
    <s v="D010"/>
    <x v="5"/>
    <x v="1"/>
    <n v="6176383634"/>
    <n v="21"/>
    <x v="1"/>
    <s v="dr.linda.wilson@hospital.com"/>
    <x v="95"/>
    <x v="2"/>
    <x v="4"/>
    <x v="1"/>
    <s v="T112"/>
    <x v="1"/>
    <s v="Basic screening"/>
    <n v="2593.4299999999998"/>
    <d v="2023-01-11T00:00:00"/>
    <s v="B003"/>
    <x v="2"/>
    <n v="3731.55"/>
    <x v="0"/>
    <x v="1"/>
  </r>
  <r>
    <s v="A113"/>
    <s v="P036"/>
    <s v="Michael Wilson"/>
    <x v="1"/>
    <d v="1997-12-26T00:00:00"/>
    <n v="8545613046"/>
    <s v="123 Elm St"/>
    <d v="2022-10-04T00:00:00"/>
    <x v="1"/>
    <s v="INS764076"/>
    <s v="michael.wilson@mail.com"/>
    <s v="D003"/>
    <x v="3"/>
    <x v="0"/>
    <n v="8737740598"/>
    <n v="19"/>
    <x v="1"/>
    <s v="dr.jane.smith@hospital.com"/>
    <x v="96"/>
    <x v="9"/>
    <x v="1"/>
    <x v="2"/>
    <s v="T113"/>
    <x v="0"/>
    <s v="Standard procedure"/>
    <n v="770.64"/>
    <d v="2023-11-24T00:00:00"/>
    <s v="B035"/>
    <x v="23"/>
    <n v="1654.53"/>
    <x v="0"/>
    <x v="2"/>
  </r>
  <r>
    <s v="A114"/>
    <s v="P018"/>
    <s v="Laura Wilson"/>
    <x v="1"/>
    <d v="1979-09-24T00:00:00"/>
    <n v="7145815738"/>
    <s v="789 Pine Rd"/>
    <d v="2022-09-23T00:00:00"/>
    <x v="2"/>
    <s v="INS635017"/>
    <s v="laura.wilson@mail.com"/>
    <s v="D001"/>
    <x v="8"/>
    <x v="2"/>
    <n v="8322010158"/>
    <n v="17"/>
    <x v="2"/>
    <s v="dr.david.taylor@hospital.com"/>
    <x v="97"/>
    <x v="31"/>
    <x v="0"/>
    <x v="3"/>
    <s v="T114"/>
    <x v="0"/>
    <s v="Basic screening"/>
    <n v="3030.34"/>
    <d v="2023-08-08T00:00:00"/>
    <s v="B114"/>
    <x v="43"/>
    <n v="3030.34"/>
    <x v="2"/>
    <x v="0"/>
  </r>
  <r>
    <s v="A115"/>
    <s v="P049"/>
    <s v="David Moore"/>
    <x v="1"/>
    <d v="1972-11-26T00:00:00"/>
    <n v="7712937941"/>
    <s v="321 Maple Dr"/>
    <d v="2023-06-14T00:00:00"/>
    <x v="1"/>
    <s v="INS584299"/>
    <s v="david.moore@mail.com"/>
    <s v="D005"/>
    <x v="9"/>
    <x v="2"/>
    <n v="9118538547"/>
    <n v="26"/>
    <x v="0"/>
    <s v="dr.sarah.taylor@hospital.com"/>
    <x v="88"/>
    <x v="6"/>
    <x v="0"/>
    <x v="1"/>
    <s v="T115"/>
    <x v="4"/>
    <s v="Standard procedure"/>
    <n v="4809.3100000000004"/>
    <d v="2023-10-25T00:00:00"/>
    <s v="B024"/>
    <x v="19"/>
    <n v="3722.68"/>
    <x v="2"/>
    <x v="0"/>
  </r>
  <r>
    <s v="A116"/>
    <s v="P039"/>
    <s v="Jane Wilson"/>
    <x v="0"/>
    <d v="1950-12-12T00:00:00"/>
    <n v="9271131338"/>
    <s v="789 Pine Rd"/>
    <d v="2021-03-09T00:00:00"/>
    <x v="2"/>
    <s v="INS348710"/>
    <s v="jane.wilson@mail.com"/>
    <s v="D009"/>
    <x v="0"/>
    <x v="0"/>
    <n v="7387087517"/>
    <n v="26"/>
    <x v="0"/>
    <s v="dr.sarah.smith@hospital.com"/>
    <x v="83"/>
    <x v="3"/>
    <x v="4"/>
    <x v="1"/>
    <s v="T116"/>
    <x v="4"/>
    <s v="Advanced protocol"/>
    <n v="1288.8599999999999"/>
    <d v="2023-07-07T00:00:00"/>
    <s v="B009"/>
    <x v="8"/>
    <n v="4541.1400000000003"/>
    <x v="1"/>
    <x v="1"/>
  </r>
  <r>
    <s v="A117"/>
    <s v="P032"/>
    <s v="Alex Moore"/>
    <x v="1"/>
    <d v="1981-01-08T00:00:00"/>
    <n v="8102183595"/>
    <s v="123 Elm St"/>
    <d v="2021-10-02T00:00:00"/>
    <x v="1"/>
    <s v="INS335362"/>
    <s v="alex.moore@mail.com"/>
    <s v="D001"/>
    <x v="8"/>
    <x v="2"/>
    <n v="8322010158"/>
    <n v="17"/>
    <x v="2"/>
    <s v="dr.david.taylor@hospital.com"/>
    <x v="98"/>
    <x v="8"/>
    <x v="1"/>
    <x v="1"/>
    <s v="T117"/>
    <x v="1"/>
    <s v="Standard procedure"/>
    <n v="3605.02"/>
    <d v="2023-06-20T00:00:00"/>
    <s v="B002"/>
    <x v="1"/>
    <n v="4158.4399999999996"/>
    <x v="0"/>
    <x v="1"/>
  </r>
  <r>
    <s v="A118"/>
    <s v="P024"/>
    <s v="Sarah Brown"/>
    <x v="0"/>
    <d v="1991-11-04T00:00:00"/>
    <n v="7196777444"/>
    <s v="321 Maple Dr"/>
    <d v="2021-09-02T00:00:00"/>
    <x v="0"/>
    <s v="INS493002"/>
    <s v="sarah.brown@mail.com"/>
    <s v="D003"/>
    <x v="3"/>
    <x v="0"/>
    <n v="8737740598"/>
    <n v="19"/>
    <x v="1"/>
    <s v="dr.jane.smith@hospital.com"/>
    <x v="0"/>
    <x v="38"/>
    <x v="1"/>
    <x v="0"/>
    <s v="T118"/>
    <x v="2"/>
    <s v="Standard procedure"/>
    <n v="1404.2"/>
    <d v="2023-08-09T00:00:00"/>
    <s v="B053"/>
    <x v="30"/>
    <n v="1565.92"/>
    <x v="0"/>
    <x v="0"/>
  </r>
  <r>
    <s v="A119"/>
    <s v="P023"/>
    <s v="Linda Johnson"/>
    <x v="1"/>
    <d v="1994-02-22T00:00:00"/>
    <n v="6141951830"/>
    <s v="789 Pine Rd"/>
    <d v="2021-12-27T00:00:00"/>
    <x v="0"/>
    <s v="INS730152"/>
    <s v="linda.johnson@mail.com"/>
    <s v="D004"/>
    <x v="1"/>
    <x v="0"/>
    <n v="6594221991"/>
    <n v="28"/>
    <x v="0"/>
    <s v="dr.david.jones@hospital.com"/>
    <x v="99"/>
    <x v="33"/>
    <x v="2"/>
    <x v="2"/>
    <s v="T119"/>
    <x v="0"/>
    <s v="Basic screening"/>
    <n v="2911.22"/>
    <d v="2023-12-18T00:00:00"/>
    <s v="B039"/>
    <x v="25"/>
    <n v="2976.02"/>
    <x v="0"/>
    <x v="2"/>
  </r>
  <r>
    <s v="A120"/>
    <s v="P032"/>
    <s v="Alex Moore"/>
    <x v="1"/>
    <d v="1981-01-08T00:00:00"/>
    <n v="8102183595"/>
    <s v="123 Elm St"/>
    <d v="2021-10-02T00:00:00"/>
    <x v="1"/>
    <s v="INS335362"/>
    <s v="alex.moore@mail.com"/>
    <s v="D001"/>
    <x v="8"/>
    <x v="2"/>
    <n v="8322010158"/>
    <n v="17"/>
    <x v="2"/>
    <s v="dr.david.taylor@hospital.com"/>
    <x v="100"/>
    <x v="14"/>
    <x v="0"/>
    <x v="1"/>
    <s v="T120"/>
    <x v="4"/>
    <s v="Basic screening"/>
    <n v="935.04"/>
    <d v="2023-12-08T00:00:00"/>
    <s v="B002"/>
    <x v="1"/>
    <n v="4158.4399999999996"/>
    <x v="0"/>
    <x v="1"/>
  </r>
  <r>
    <s v="A121"/>
    <s v="P037"/>
    <s v="Robert Williams"/>
    <x v="1"/>
    <d v="1999-02-05T00:00:00"/>
    <n v="8886800195"/>
    <s v="456 Oak Ave"/>
    <d v="2021-09-30T00:00:00"/>
    <x v="3"/>
    <s v="INS319963"/>
    <s v="robert.williams@mail.com"/>
    <s v="D001"/>
    <x v="8"/>
    <x v="2"/>
    <n v="8322010158"/>
    <n v="17"/>
    <x v="2"/>
    <s v="dr.david.taylor@hospital.com"/>
    <x v="101"/>
    <x v="27"/>
    <x v="3"/>
    <x v="3"/>
    <s v="T121"/>
    <x v="1"/>
    <s v="Advanced protocol"/>
    <n v="2526.67"/>
    <d v="2023-04-07T00:00:00"/>
    <s v="B017"/>
    <x v="15"/>
    <n v="1655.49"/>
    <x v="1"/>
    <x v="0"/>
  </r>
  <r>
    <s v="A122"/>
    <s v="P012"/>
    <s v="Laura Davis"/>
    <x v="0"/>
    <d v="1991-12-08T00:00:00"/>
    <n v="8135666049"/>
    <s v="321 Maple Dr"/>
    <d v="2023-04-27T00:00:00"/>
    <x v="1"/>
    <s v="INS104014"/>
    <s v="laura.davis@mail.com"/>
    <s v="D008"/>
    <x v="7"/>
    <x v="2"/>
    <n v="9069162601"/>
    <n v="5"/>
    <x v="2"/>
    <s v="dr.linda.brown@hospital.com"/>
    <x v="16"/>
    <x v="1"/>
    <x v="0"/>
    <x v="2"/>
    <s v="T122"/>
    <x v="4"/>
    <s v="Standard procedure"/>
    <n v="3902.73"/>
    <d v="2023-07-11T00:00:00"/>
    <s v="B014"/>
    <x v="13"/>
    <n v="2082.3000000000002"/>
    <x v="1"/>
    <x v="1"/>
  </r>
  <r>
    <s v="A123"/>
    <s v="P049"/>
    <s v="David Moore"/>
    <x v="1"/>
    <d v="1972-11-26T00:00:00"/>
    <n v="7712937941"/>
    <s v="321 Maple Dr"/>
    <d v="2023-06-14T00:00:00"/>
    <x v="1"/>
    <s v="INS584299"/>
    <s v="david.moore@mail.com"/>
    <s v="D002"/>
    <x v="6"/>
    <x v="0"/>
    <n v="9004382050"/>
    <n v="24"/>
    <x v="1"/>
    <s v="dr.jane.davis@hospital.com"/>
    <x v="102"/>
    <x v="20"/>
    <x v="0"/>
    <x v="3"/>
    <s v="T123"/>
    <x v="0"/>
    <s v="Standard procedure"/>
    <n v="2064.0700000000002"/>
    <d v="2023-02-28T00:00:00"/>
    <s v="B024"/>
    <x v="19"/>
    <n v="3722.68"/>
    <x v="2"/>
    <x v="0"/>
  </r>
  <r>
    <s v="A124"/>
    <s v="P013"/>
    <s v="Laura Johnson"/>
    <x v="0"/>
    <d v="1990-03-28T00:00:00"/>
    <n v="9059178882"/>
    <s v="321 Maple Dr"/>
    <d v="2021-12-23T00:00:00"/>
    <x v="0"/>
    <s v="INS373237"/>
    <s v="laura.johnson@mail.com"/>
    <s v="D008"/>
    <x v="7"/>
    <x v="2"/>
    <n v="9069162601"/>
    <n v="5"/>
    <x v="2"/>
    <s v="dr.linda.brown@hospital.com"/>
    <x v="103"/>
    <x v="13"/>
    <x v="2"/>
    <x v="2"/>
    <s v="T124"/>
    <x v="0"/>
    <s v="Standard procedure"/>
    <n v="3492.1"/>
    <d v="2023-03-16T00:00:00"/>
    <s v="B078"/>
    <x v="38"/>
    <n v="3628.15"/>
    <x v="1"/>
    <x v="1"/>
  </r>
  <r>
    <s v="A125"/>
    <s v="P023"/>
    <s v="Linda Johnson"/>
    <x v="1"/>
    <d v="1994-02-22T00:00:00"/>
    <n v="6141951830"/>
    <s v="789 Pine Rd"/>
    <d v="2021-12-27T00:00:00"/>
    <x v="0"/>
    <s v="INS730152"/>
    <s v="linda.johnson@mail.com"/>
    <s v="D007"/>
    <x v="4"/>
    <x v="1"/>
    <n v="8217493115"/>
    <n v="26"/>
    <x v="2"/>
    <s v="dr.robert.davis@hospital.com"/>
    <x v="76"/>
    <x v="36"/>
    <x v="3"/>
    <x v="3"/>
    <s v="T125"/>
    <x v="3"/>
    <s v="Advanced protocol"/>
    <n v="4079.52"/>
    <d v="2023-02-18T00:00:00"/>
    <s v="B039"/>
    <x v="25"/>
    <n v="2976.02"/>
    <x v="0"/>
    <x v="2"/>
  </r>
  <r>
    <s v="A126"/>
    <s v="P025"/>
    <s v="Robert Wilson"/>
    <x v="1"/>
    <d v="1966-08-14T00:00:00"/>
    <n v="7482069727"/>
    <s v="123 Elm St"/>
    <d v="2021-09-09T00:00:00"/>
    <x v="3"/>
    <s v="INS833429"/>
    <s v="robert.wilson@mail.com"/>
    <s v="D010"/>
    <x v="5"/>
    <x v="1"/>
    <n v="6176383634"/>
    <n v="21"/>
    <x v="1"/>
    <s v="dr.linda.wilson@hospital.com"/>
    <x v="104"/>
    <x v="16"/>
    <x v="2"/>
    <x v="0"/>
    <s v="T126"/>
    <x v="2"/>
    <s v="Advanced protocol"/>
    <n v="4672.3"/>
    <d v="2023-11-02T00:00:00"/>
    <s v="B004"/>
    <x v="3"/>
    <n v="4799.8599999999997"/>
    <x v="0"/>
    <x v="2"/>
  </r>
  <r>
    <s v="A127"/>
    <s v="P035"/>
    <s v="David Wilson"/>
    <x v="0"/>
    <d v="1993-04-13T00:00:00"/>
    <n v="7039619487"/>
    <s v="123 Elm St"/>
    <d v="2023-07-09T00:00:00"/>
    <x v="1"/>
    <s v="INS897079"/>
    <s v="david.wilson@mail.com"/>
    <s v="D010"/>
    <x v="5"/>
    <x v="1"/>
    <n v="6176383634"/>
    <n v="21"/>
    <x v="1"/>
    <s v="dr.linda.wilson@hospital.com"/>
    <x v="105"/>
    <x v="32"/>
    <x v="3"/>
    <x v="1"/>
    <s v="T127"/>
    <x v="3"/>
    <s v="Advanced protocol"/>
    <n v="1555.89"/>
    <d v="2023-11-13T00:00:00"/>
    <s v="B064"/>
    <x v="35"/>
    <n v="3815.93"/>
    <x v="2"/>
    <x v="1"/>
  </r>
  <r>
    <s v="A128"/>
    <s v="P041"/>
    <s v="Robert Williams"/>
    <x v="1"/>
    <d v="1951-06-19T00:00:00"/>
    <n v="7020645498"/>
    <s v="456 Oak Ave"/>
    <d v="2022-07-16T00:00:00"/>
    <x v="0"/>
    <s v="INS997059"/>
    <s v="robert.williams@mail.com"/>
    <s v="D002"/>
    <x v="6"/>
    <x v="0"/>
    <n v="9004382050"/>
    <n v="24"/>
    <x v="1"/>
    <s v="dr.jane.davis@hospital.com"/>
    <x v="53"/>
    <x v="37"/>
    <x v="4"/>
    <x v="3"/>
    <s v="T128"/>
    <x v="1"/>
    <s v="Advanced protocol"/>
    <n v="2296.92"/>
    <d v="2023-04-15T00:00:00"/>
    <s v="B094"/>
    <x v="41"/>
    <n v="1519.95"/>
    <x v="2"/>
    <x v="2"/>
  </r>
  <r>
    <s v="A129"/>
    <s v="P030"/>
    <s v="Emily Moore"/>
    <x v="1"/>
    <d v="1964-12-23T00:00:00"/>
    <n v="6622318721"/>
    <s v="456 Oak Ave"/>
    <d v="2021-08-07T00:00:00"/>
    <x v="2"/>
    <s v="INS250262"/>
    <s v="emily.moore@mail.com"/>
    <s v="D006"/>
    <x v="2"/>
    <x v="0"/>
    <n v="6570137231"/>
    <n v="23"/>
    <x v="0"/>
    <s v="dr.alex.davis@hospital.com"/>
    <x v="106"/>
    <x v="29"/>
    <x v="3"/>
    <x v="2"/>
    <s v="T129"/>
    <x v="4"/>
    <s v="Advanced protocol"/>
    <n v="1185.8699999999999"/>
    <d v="2023-08-25T00:00:00"/>
    <s v="B025"/>
    <x v="20"/>
    <n v="1726.81"/>
    <x v="2"/>
    <x v="2"/>
  </r>
  <r>
    <s v="A130"/>
    <s v="P017"/>
    <s v="Jane Jones"/>
    <x v="1"/>
    <d v="1991-05-01T00:00:00"/>
    <n v="6158428240"/>
    <s v="456 Oak Ave"/>
    <d v="2022-09-26T00:00:00"/>
    <x v="0"/>
    <s v="INS182074"/>
    <s v="jane.jones@mail.com"/>
    <s v="D006"/>
    <x v="2"/>
    <x v="0"/>
    <n v="6570137231"/>
    <n v="23"/>
    <x v="0"/>
    <s v="dr.alex.davis@hospital.com"/>
    <x v="35"/>
    <x v="27"/>
    <x v="2"/>
    <x v="1"/>
    <s v="T130"/>
    <x v="1"/>
    <s v="Basic screening"/>
    <n v="4966.18"/>
    <d v="2023-02-23T00:00:00"/>
    <s v="B086"/>
    <x v="39"/>
    <n v="3759.52"/>
    <x v="2"/>
    <x v="0"/>
  </r>
  <r>
    <s v="A131"/>
    <s v="P049"/>
    <s v="David Moore"/>
    <x v="1"/>
    <d v="1972-11-26T00:00:00"/>
    <n v="7712937941"/>
    <s v="321 Maple Dr"/>
    <d v="2023-06-14T00:00:00"/>
    <x v="1"/>
    <s v="INS584299"/>
    <s v="david.moore@mail.com"/>
    <s v="D003"/>
    <x v="3"/>
    <x v="0"/>
    <n v="8737740598"/>
    <n v="19"/>
    <x v="1"/>
    <s v="dr.jane.smith@hospital.com"/>
    <x v="107"/>
    <x v="35"/>
    <x v="0"/>
    <x v="1"/>
    <s v="T131"/>
    <x v="0"/>
    <s v="Standard procedure"/>
    <n v="4671.5"/>
    <d v="2023-05-11T00:00:00"/>
    <s v="B024"/>
    <x v="19"/>
    <n v="3722.68"/>
    <x v="2"/>
    <x v="0"/>
  </r>
  <r>
    <s v="A132"/>
    <s v="P020"/>
    <s v="Jane Moore"/>
    <x v="0"/>
    <d v="2003-06-06T00:00:00"/>
    <n v="8158989953"/>
    <s v="789 Pine Rd"/>
    <d v="2022-04-03T00:00:00"/>
    <x v="1"/>
    <s v="INS276089"/>
    <s v="jane.moore@mail.com"/>
    <s v="D002"/>
    <x v="6"/>
    <x v="0"/>
    <n v="9004382050"/>
    <n v="24"/>
    <x v="1"/>
    <s v="dr.jane.davis@hospital.com"/>
    <x v="108"/>
    <x v="20"/>
    <x v="3"/>
    <x v="2"/>
    <s v="T132"/>
    <x v="3"/>
    <s v="Standard procedure"/>
    <n v="2929.81"/>
    <d v="2023-07-26T00:00:00"/>
    <s v="B060"/>
    <x v="33"/>
    <n v="3307.37"/>
    <x v="0"/>
    <x v="0"/>
  </r>
  <r>
    <s v="A133"/>
    <s v="P048"/>
    <s v="Emily Miller"/>
    <x v="1"/>
    <d v="1983-03-24T00:00:00"/>
    <n v="8720989381"/>
    <s v="123 Elm St"/>
    <d v="2023-06-19T00:00:00"/>
    <x v="2"/>
    <s v="INS694319"/>
    <s v="emily.miller@mail.com"/>
    <s v="D001"/>
    <x v="8"/>
    <x v="2"/>
    <n v="8322010158"/>
    <n v="17"/>
    <x v="2"/>
    <s v="dr.david.taylor@hospital.com"/>
    <x v="109"/>
    <x v="1"/>
    <x v="3"/>
    <x v="3"/>
    <s v="T133"/>
    <x v="3"/>
    <s v="Standard procedure"/>
    <n v="4289.1499999999996"/>
    <d v="2023-03-23T00:00:00"/>
    <s v="B003"/>
    <x v="2"/>
    <n v="3731.55"/>
    <x v="0"/>
    <x v="1"/>
  </r>
  <r>
    <s v="A134"/>
    <s v="P025"/>
    <s v="Robert Wilson"/>
    <x v="1"/>
    <d v="1966-08-14T00:00:00"/>
    <n v="7482069727"/>
    <s v="123 Elm St"/>
    <d v="2021-09-09T00:00:00"/>
    <x v="3"/>
    <s v="INS833429"/>
    <s v="robert.wilson@mail.com"/>
    <s v="D006"/>
    <x v="2"/>
    <x v="0"/>
    <n v="6570137231"/>
    <n v="23"/>
    <x v="0"/>
    <s v="dr.alex.davis@hospital.com"/>
    <x v="110"/>
    <x v="0"/>
    <x v="1"/>
    <x v="0"/>
    <s v="T134"/>
    <x v="3"/>
    <s v="Standard procedure"/>
    <n v="2844.31"/>
    <d v="2023-10-17T00:00:00"/>
    <s v="B004"/>
    <x v="3"/>
    <n v="4799.8599999999997"/>
    <x v="0"/>
    <x v="2"/>
  </r>
  <r>
    <s v="A135"/>
    <s v="P022"/>
    <s v="John Brown"/>
    <x v="1"/>
    <d v="1955-05-10T00:00:00"/>
    <n v="6221099573"/>
    <s v="321 Maple Dr"/>
    <d v="2021-05-11T00:00:00"/>
    <x v="1"/>
    <s v="INS258823"/>
    <s v="john.brown@mail.com"/>
    <s v="D005"/>
    <x v="9"/>
    <x v="2"/>
    <n v="9118538547"/>
    <n v="26"/>
    <x v="0"/>
    <s v="dr.sarah.taylor@hospital.com"/>
    <x v="111"/>
    <x v="35"/>
    <x v="0"/>
    <x v="0"/>
    <s v="T135"/>
    <x v="1"/>
    <s v="Standard procedure"/>
    <n v="3306.14"/>
    <d v="2023-09-09T00:00:00"/>
    <s v="B011"/>
    <x v="10"/>
    <n v="4671.66"/>
    <x v="2"/>
    <x v="2"/>
  </r>
  <r>
    <s v="A136"/>
    <s v="P013"/>
    <s v="Laura Johnson"/>
    <x v="0"/>
    <d v="1990-03-28T00:00:00"/>
    <n v="9059178882"/>
    <s v="321 Maple Dr"/>
    <d v="2021-12-23T00:00:00"/>
    <x v="0"/>
    <s v="INS373237"/>
    <s v="laura.johnson@mail.com"/>
    <s v="D009"/>
    <x v="0"/>
    <x v="0"/>
    <n v="7387087517"/>
    <n v="26"/>
    <x v="0"/>
    <s v="dr.sarah.smith@hospital.com"/>
    <x v="112"/>
    <x v="23"/>
    <x v="4"/>
    <x v="3"/>
    <s v="T136"/>
    <x v="0"/>
    <s v="Standard procedure"/>
    <n v="901.06"/>
    <d v="2023-05-13T00:00:00"/>
    <s v="B078"/>
    <x v="38"/>
    <n v="3628.15"/>
    <x v="1"/>
    <x v="1"/>
  </r>
  <r>
    <s v="A137"/>
    <s v="P019"/>
    <s v="Sarah Miller"/>
    <x v="1"/>
    <d v="1975-05-24T00:00:00"/>
    <n v="8618058864"/>
    <s v="789 Pine Rd"/>
    <d v="2023-06-24T00:00:00"/>
    <x v="0"/>
    <s v="INS855073"/>
    <s v="sarah.miller@mail.com"/>
    <s v="D001"/>
    <x v="8"/>
    <x v="2"/>
    <n v="8322010158"/>
    <n v="17"/>
    <x v="2"/>
    <s v="dr.david.taylor@hospital.com"/>
    <x v="88"/>
    <x v="11"/>
    <x v="2"/>
    <x v="1"/>
    <s v="T137"/>
    <x v="4"/>
    <s v="Standard procedure"/>
    <n v="3898.72"/>
    <d v="2023-10-25T00:00:00"/>
    <s v="B046"/>
    <x v="28"/>
    <n v="1526.36"/>
    <x v="2"/>
    <x v="1"/>
  </r>
  <r>
    <s v="A138"/>
    <s v="P049"/>
    <s v="David Moore"/>
    <x v="1"/>
    <d v="1972-11-26T00:00:00"/>
    <n v="7712937941"/>
    <s v="321 Maple Dr"/>
    <d v="2023-06-14T00:00:00"/>
    <x v="1"/>
    <s v="INS584299"/>
    <s v="david.moore@mail.com"/>
    <s v="D007"/>
    <x v="4"/>
    <x v="1"/>
    <n v="8217493115"/>
    <n v="26"/>
    <x v="2"/>
    <s v="dr.robert.davis@hospital.com"/>
    <x v="71"/>
    <x v="0"/>
    <x v="4"/>
    <x v="1"/>
    <s v="T138"/>
    <x v="4"/>
    <s v="Standard procedure"/>
    <n v="1074.71"/>
    <d v="2023-12-26T00:00:00"/>
    <s v="B024"/>
    <x v="19"/>
    <n v="3722.68"/>
    <x v="2"/>
    <x v="0"/>
  </r>
  <r>
    <s v="A139"/>
    <s v="P036"/>
    <s v="Michael Wilson"/>
    <x v="1"/>
    <d v="1997-12-26T00:00:00"/>
    <n v="8545613046"/>
    <s v="123 Elm St"/>
    <d v="2022-10-04T00:00:00"/>
    <x v="1"/>
    <s v="INS764076"/>
    <s v="michael.wilson@mail.com"/>
    <s v="D005"/>
    <x v="9"/>
    <x v="2"/>
    <n v="9118538547"/>
    <n v="26"/>
    <x v="0"/>
    <s v="dr.sarah.taylor@hospital.com"/>
    <x v="113"/>
    <x v="20"/>
    <x v="0"/>
    <x v="1"/>
    <s v="T139"/>
    <x v="1"/>
    <s v="Basic screening"/>
    <n v="4217.3"/>
    <d v="2023-10-10T00:00:00"/>
    <s v="B035"/>
    <x v="23"/>
    <n v="1654.53"/>
    <x v="0"/>
    <x v="2"/>
  </r>
  <r>
    <s v="A140"/>
    <s v="P012"/>
    <s v="Laura Davis"/>
    <x v="0"/>
    <d v="1991-12-08T00:00:00"/>
    <n v="8135666049"/>
    <s v="321 Maple Dr"/>
    <d v="2023-04-27T00:00:00"/>
    <x v="1"/>
    <s v="INS104014"/>
    <s v="laura.davis@mail.com"/>
    <s v="D005"/>
    <x v="9"/>
    <x v="2"/>
    <n v="9118538547"/>
    <n v="26"/>
    <x v="0"/>
    <s v="dr.sarah.taylor@hospital.com"/>
    <x v="114"/>
    <x v="0"/>
    <x v="3"/>
    <x v="1"/>
    <s v="T140"/>
    <x v="3"/>
    <s v="Standard procedure"/>
    <n v="4019.13"/>
    <d v="2023-02-05T00:00:00"/>
    <s v="B014"/>
    <x v="13"/>
    <n v="2082.3000000000002"/>
    <x v="1"/>
    <x v="1"/>
  </r>
  <r>
    <s v="A141"/>
    <s v="P041"/>
    <s v="Robert Williams"/>
    <x v="1"/>
    <d v="1951-06-19T00:00:00"/>
    <n v="7020645498"/>
    <s v="456 Oak Ave"/>
    <d v="2022-07-16T00:00:00"/>
    <x v="0"/>
    <s v="INS997059"/>
    <s v="robert.williams@mail.com"/>
    <s v="D002"/>
    <x v="6"/>
    <x v="0"/>
    <n v="9004382050"/>
    <n v="24"/>
    <x v="1"/>
    <s v="dr.jane.davis@hospital.com"/>
    <x v="115"/>
    <x v="0"/>
    <x v="3"/>
    <x v="3"/>
    <s v="T141"/>
    <x v="2"/>
    <s v="Basic screening"/>
    <n v="3689.35"/>
    <d v="2023-06-15T00:00:00"/>
    <s v="B094"/>
    <x v="41"/>
    <n v="1519.95"/>
    <x v="2"/>
    <x v="2"/>
  </r>
  <r>
    <s v="A142"/>
    <s v="P019"/>
    <s v="Sarah Miller"/>
    <x v="1"/>
    <d v="1975-05-24T00:00:00"/>
    <n v="8618058864"/>
    <s v="789 Pine Rd"/>
    <d v="2023-06-24T00:00:00"/>
    <x v="0"/>
    <s v="INS855073"/>
    <s v="sarah.miller@mail.com"/>
    <s v="D003"/>
    <x v="3"/>
    <x v="0"/>
    <n v="8737740598"/>
    <n v="19"/>
    <x v="1"/>
    <s v="dr.jane.smith@hospital.com"/>
    <x v="116"/>
    <x v="28"/>
    <x v="0"/>
    <x v="1"/>
    <s v="T142"/>
    <x v="1"/>
    <s v="Advanced protocol"/>
    <n v="662.72"/>
    <d v="2023-11-01T00:00:00"/>
    <s v="B046"/>
    <x v="28"/>
    <n v="1526.36"/>
    <x v="2"/>
    <x v="1"/>
  </r>
  <r>
    <s v="A143"/>
    <s v="P012"/>
    <s v="Laura Davis"/>
    <x v="0"/>
    <d v="1991-12-08T00:00:00"/>
    <n v="8135666049"/>
    <s v="321 Maple Dr"/>
    <d v="2023-04-27T00:00:00"/>
    <x v="1"/>
    <s v="INS104014"/>
    <s v="laura.davis@mail.com"/>
    <s v="D007"/>
    <x v="4"/>
    <x v="1"/>
    <n v="8217493115"/>
    <n v="26"/>
    <x v="2"/>
    <s v="dr.robert.davis@hospital.com"/>
    <x v="87"/>
    <x v="34"/>
    <x v="3"/>
    <x v="2"/>
    <s v="T143"/>
    <x v="1"/>
    <s v="Standard procedure"/>
    <n v="1864.08"/>
    <d v="2023-09-21T00:00:00"/>
    <s v="B014"/>
    <x v="13"/>
    <n v="2082.3000000000002"/>
    <x v="1"/>
    <x v="1"/>
  </r>
  <r>
    <s v="A144"/>
    <s v="P009"/>
    <s v="Laura Davis"/>
    <x v="1"/>
    <d v="1971-12-11T00:00:00"/>
    <n v="7060324619"/>
    <s v="321 Maple Dr"/>
    <d v="2022-09-18T00:00:00"/>
    <x v="2"/>
    <s v="INS136631"/>
    <s v="laura.davis@mail.com"/>
    <s v="D006"/>
    <x v="2"/>
    <x v="0"/>
    <n v="6570137231"/>
    <n v="23"/>
    <x v="0"/>
    <s v="dr.alex.davis@hospital.com"/>
    <x v="12"/>
    <x v="34"/>
    <x v="3"/>
    <x v="1"/>
    <s v="T144"/>
    <x v="0"/>
    <s v="Advanced protocol"/>
    <n v="1684.01"/>
    <d v="2023-08-16T00:00:00"/>
    <s v="B107"/>
    <x v="25"/>
    <n v="3512.69"/>
    <x v="1"/>
    <x v="0"/>
  </r>
  <r>
    <s v="A145"/>
    <s v="P007"/>
    <s v="Alex Johnson"/>
    <x v="0"/>
    <d v="1989-06-08T00:00:00"/>
    <n v="6278710077"/>
    <s v="789 Pine Rd"/>
    <d v="2021-12-25T00:00:00"/>
    <x v="1"/>
    <s v="INS465890"/>
    <s v="alex.johnson@mail.com"/>
    <s v="D002"/>
    <x v="6"/>
    <x v="0"/>
    <n v="9004382050"/>
    <n v="24"/>
    <x v="1"/>
    <s v="dr.jane.davis@hospital.com"/>
    <x v="117"/>
    <x v="37"/>
    <x v="3"/>
    <x v="0"/>
    <s v="T145"/>
    <x v="4"/>
    <s v="Advanced protocol"/>
    <n v="2120.61"/>
    <d v="2023-11-11T00:00:00"/>
    <s v="B095"/>
    <x v="18"/>
    <n v="2097.48"/>
    <x v="2"/>
    <x v="2"/>
  </r>
  <r>
    <s v="A146"/>
    <s v="P028"/>
    <s v="Alex Moore"/>
    <x v="1"/>
    <d v="1993-04-13T00:00:00"/>
    <n v="7028910482"/>
    <s v="321 Maple Dr"/>
    <d v="2023-05-20T00:00:00"/>
    <x v="1"/>
    <s v="INS679036"/>
    <s v="alex.moore@mail.com"/>
    <s v="D006"/>
    <x v="2"/>
    <x v="0"/>
    <n v="6570137231"/>
    <n v="23"/>
    <x v="0"/>
    <s v="dr.alex.davis@hospital.com"/>
    <x v="118"/>
    <x v="29"/>
    <x v="2"/>
    <x v="1"/>
    <s v="T146"/>
    <x v="1"/>
    <s v="Advanced protocol"/>
    <n v="894.39"/>
    <d v="2023-01-05T00:00:00"/>
    <s v="B021"/>
    <x v="17"/>
    <n v="2926.23"/>
    <x v="0"/>
    <x v="2"/>
  </r>
  <r>
    <s v="A147"/>
    <s v="P014"/>
    <s v="Alex Taylor"/>
    <x v="1"/>
    <d v="1968-02-27T00:00:00"/>
    <n v="7292262512"/>
    <s v="789 Pine Rd"/>
    <d v="2023-12-12T00:00:00"/>
    <x v="1"/>
    <s v="INS118070"/>
    <s v="alex.taylor@mail.com"/>
    <s v="D002"/>
    <x v="6"/>
    <x v="0"/>
    <n v="9004382050"/>
    <n v="24"/>
    <x v="1"/>
    <s v="dr.jane.davis@hospital.com"/>
    <x v="105"/>
    <x v="30"/>
    <x v="2"/>
    <x v="3"/>
    <s v="T147"/>
    <x v="1"/>
    <s v="Basic screening"/>
    <n v="4716.3100000000004"/>
    <d v="2023-11-13T00:00:00"/>
    <s v="B020"/>
    <x v="16"/>
    <n v="4113.62"/>
    <x v="1"/>
    <x v="2"/>
  </r>
  <r>
    <s v="A148"/>
    <s v="P031"/>
    <s v="Robert Miller"/>
    <x v="1"/>
    <d v="1987-01-14T00:00:00"/>
    <n v="8280346676"/>
    <s v="321 Maple Dr"/>
    <d v="2022-06-28T00:00:00"/>
    <x v="0"/>
    <s v="INS542905"/>
    <s v="robert.miller@mail.com"/>
    <s v="D002"/>
    <x v="6"/>
    <x v="0"/>
    <n v="9004382050"/>
    <n v="24"/>
    <x v="1"/>
    <s v="dr.jane.davis@hospital.com"/>
    <x v="119"/>
    <x v="32"/>
    <x v="1"/>
    <x v="0"/>
    <s v="T148"/>
    <x v="3"/>
    <s v="Advanced protocol"/>
    <n v="2992.11"/>
    <d v="2023-12-06T00:00:00"/>
    <s v="B044"/>
    <x v="27"/>
    <n v="4186.3500000000004"/>
    <x v="0"/>
    <x v="1"/>
  </r>
  <r>
    <s v="A149"/>
    <s v="P019"/>
    <s v="Sarah Miller"/>
    <x v="1"/>
    <d v="1975-05-24T00:00:00"/>
    <n v="8618058864"/>
    <s v="789 Pine Rd"/>
    <d v="2023-06-24T00:00:00"/>
    <x v="0"/>
    <s v="INS855073"/>
    <s v="sarah.miller@mail.com"/>
    <s v="D002"/>
    <x v="6"/>
    <x v="0"/>
    <n v="9004382050"/>
    <n v="24"/>
    <x v="1"/>
    <s v="dr.jane.davis@hospital.com"/>
    <x v="108"/>
    <x v="23"/>
    <x v="4"/>
    <x v="3"/>
    <s v="T149"/>
    <x v="3"/>
    <s v="Advanced protocol"/>
    <n v="1874.86"/>
    <d v="2023-07-26T00:00:00"/>
    <s v="B046"/>
    <x v="28"/>
    <n v="1526.36"/>
    <x v="2"/>
    <x v="1"/>
  </r>
  <r>
    <s v="A150"/>
    <s v="P047"/>
    <s v="Jane Moore"/>
    <x v="1"/>
    <d v="1995-12-13T00:00:00"/>
    <n v="8715732851"/>
    <s v="321 Maple Dr"/>
    <d v="2022-05-20T00:00:00"/>
    <x v="0"/>
    <s v="INS337549"/>
    <s v="jane.moore@mail.com"/>
    <s v="D003"/>
    <x v="3"/>
    <x v="0"/>
    <n v="8737740598"/>
    <n v="19"/>
    <x v="1"/>
    <s v="dr.jane.smith@hospital.com"/>
    <x v="12"/>
    <x v="20"/>
    <x v="0"/>
    <x v="3"/>
    <s v="T150"/>
    <x v="2"/>
    <s v="Advanced protocol"/>
    <n v="2286.42"/>
    <d v="2023-08-16T00:00:00"/>
    <s v="B023"/>
    <x v="18"/>
    <n v="3246.5"/>
    <x v="1"/>
    <x v="0"/>
  </r>
  <r>
    <s v="A151"/>
    <s v="P016"/>
    <s v="Michael Taylor"/>
    <x v="1"/>
    <d v="2000-07-22T00:00:00"/>
    <n v="7223380592"/>
    <s v="789 Pine Rd"/>
    <d v="2021-07-23T00:00:00"/>
    <x v="2"/>
    <s v="INS156958"/>
    <s v="michael.taylor@mail.com"/>
    <s v="D002"/>
    <x v="6"/>
    <x v="0"/>
    <n v="9004382050"/>
    <n v="24"/>
    <x v="1"/>
    <s v="dr.jane.davis@hospital.com"/>
    <x v="120"/>
    <x v="3"/>
    <x v="0"/>
    <x v="0"/>
    <s v="T151"/>
    <x v="0"/>
    <s v="Standard procedure"/>
    <n v="2512.41"/>
    <d v="2023-01-28T00:00:00"/>
    <s v="B008"/>
    <x v="7"/>
    <n v="3413.64"/>
    <x v="2"/>
    <x v="2"/>
  </r>
  <r>
    <s v="A152"/>
    <s v="P005"/>
    <s v="David Wilson"/>
    <x v="1"/>
    <d v="1960-06-23T00:00:00"/>
    <n v="7734463155"/>
    <s v="123 Elm St"/>
    <d v="2021-09-29T00:00:00"/>
    <x v="1"/>
    <s v="INS788105"/>
    <s v="david.wilson@mail.com"/>
    <s v="D004"/>
    <x v="1"/>
    <x v="0"/>
    <n v="6594221991"/>
    <n v="28"/>
    <x v="0"/>
    <s v="dr.david.jones@hospital.com"/>
    <x v="121"/>
    <x v="32"/>
    <x v="0"/>
    <x v="3"/>
    <s v="T152"/>
    <x v="2"/>
    <s v="Standard procedure"/>
    <n v="3202.67"/>
    <d v="2023-04-14T00:00:00"/>
    <s v="B010"/>
    <x v="9"/>
    <n v="1595.67"/>
    <x v="2"/>
    <x v="1"/>
  </r>
  <r>
    <s v="A153"/>
    <s v="P035"/>
    <s v="David Wilson"/>
    <x v="0"/>
    <d v="1993-04-13T00:00:00"/>
    <n v="7039619487"/>
    <s v="123 Elm St"/>
    <d v="2023-07-09T00:00:00"/>
    <x v="1"/>
    <s v="INS897079"/>
    <s v="david.wilson@mail.com"/>
    <s v="D009"/>
    <x v="0"/>
    <x v="0"/>
    <n v="7387087517"/>
    <n v="26"/>
    <x v="0"/>
    <s v="dr.sarah.smith@hospital.com"/>
    <x v="122"/>
    <x v="4"/>
    <x v="1"/>
    <x v="3"/>
    <s v="T153"/>
    <x v="3"/>
    <s v="Basic screening"/>
    <n v="2820.56"/>
    <d v="2023-07-08T00:00:00"/>
    <s v="B064"/>
    <x v="35"/>
    <n v="3815.93"/>
    <x v="2"/>
    <x v="1"/>
  </r>
  <r>
    <s v="A154"/>
    <s v="P012"/>
    <s v="Laura Davis"/>
    <x v="0"/>
    <d v="1991-12-08T00:00:00"/>
    <n v="8135666049"/>
    <s v="321 Maple Dr"/>
    <d v="2023-04-27T00:00:00"/>
    <x v="1"/>
    <s v="INS104014"/>
    <s v="laura.davis@mail.com"/>
    <s v="D006"/>
    <x v="2"/>
    <x v="0"/>
    <n v="6570137231"/>
    <n v="23"/>
    <x v="0"/>
    <s v="dr.alex.davis@hospital.com"/>
    <x v="123"/>
    <x v="30"/>
    <x v="2"/>
    <x v="1"/>
    <s v="T154"/>
    <x v="4"/>
    <s v="Basic screening"/>
    <n v="4637.26"/>
    <d v="2023-03-06T00:00:00"/>
    <s v="B014"/>
    <x v="13"/>
    <n v="2082.3000000000002"/>
    <x v="1"/>
    <x v="1"/>
  </r>
  <r>
    <s v="A155"/>
    <s v="P025"/>
    <s v="Robert Wilson"/>
    <x v="1"/>
    <d v="1966-08-14T00:00:00"/>
    <n v="7482069727"/>
    <s v="123 Elm St"/>
    <d v="2021-09-09T00:00:00"/>
    <x v="3"/>
    <s v="INS833429"/>
    <s v="robert.wilson@mail.com"/>
    <s v="D001"/>
    <x v="8"/>
    <x v="2"/>
    <n v="8322010158"/>
    <n v="17"/>
    <x v="2"/>
    <s v="dr.david.taylor@hospital.com"/>
    <x v="124"/>
    <x v="29"/>
    <x v="1"/>
    <x v="2"/>
    <s v="T155"/>
    <x v="3"/>
    <s v="Standard procedure"/>
    <n v="2736.34"/>
    <d v="2023-01-03T00:00:00"/>
    <s v="B004"/>
    <x v="3"/>
    <n v="4799.8599999999997"/>
    <x v="0"/>
    <x v="2"/>
  </r>
  <r>
    <s v="A156"/>
    <s v="P021"/>
    <s v="Michael Wilson"/>
    <x v="1"/>
    <d v="2002-03-01T00:00:00"/>
    <n v="7765390555"/>
    <s v="321 Maple Dr"/>
    <d v="2022-01-19T00:00:00"/>
    <x v="0"/>
    <s v="INS297392"/>
    <s v="michael.wilson@mail.com"/>
    <s v="D008"/>
    <x v="7"/>
    <x v="2"/>
    <n v="9069162601"/>
    <n v="5"/>
    <x v="2"/>
    <s v="dr.linda.brown@hospital.com"/>
    <x v="55"/>
    <x v="1"/>
    <x v="0"/>
    <x v="3"/>
    <s v="T156"/>
    <x v="0"/>
    <s v="Basic screening"/>
    <n v="4964.71"/>
    <d v="2023-11-22T00:00:00"/>
    <s v="B033"/>
    <x v="22"/>
    <n v="980.95"/>
    <x v="1"/>
    <x v="1"/>
  </r>
  <r>
    <s v="A157"/>
    <s v="P036"/>
    <s v="Michael Wilson"/>
    <x v="1"/>
    <d v="1997-12-26T00:00:00"/>
    <n v="8545613046"/>
    <s v="123 Elm St"/>
    <d v="2022-10-04T00:00:00"/>
    <x v="1"/>
    <s v="INS764076"/>
    <s v="michael.wilson@mail.com"/>
    <s v="D007"/>
    <x v="4"/>
    <x v="1"/>
    <n v="8217493115"/>
    <n v="26"/>
    <x v="2"/>
    <s v="dr.robert.davis@hospital.com"/>
    <x v="125"/>
    <x v="14"/>
    <x v="4"/>
    <x v="3"/>
    <s v="T157"/>
    <x v="3"/>
    <s v="Standard procedure"/>
    <n v="4331.41"/>
    <d v="2023-05-12T00:00:00"/>
    <s v="B035"/>
    <x v="23"/>
    <n v="1654.53"/>
    <x v="0"/>
    <x v="2"/>
  </r>
  <r>
    <s v="A158"/>
    <s v="P023"/>
    <s v="Linda Johnson"/>
    <x v="1"/>
    <d v="1994-02-22T00:00:00"/>
    <n v="6141951830"/>
    <s v="789 Pine Rd"/>
    <d v="2021-12-27T00:00:00"/>
    <x v="0"/>
    <s v="INS730152"/>
    <s v="linda.johnson@mail.com"/>
    <s v="D010"/>
    <x v="5"/>
    <x v="1"/>
    <n v="6176383634"/>
    <n v="21"/>
    <x v="1"/>
    <s v="dr.linda.wilson@hospital.com"/>
    <x v="48"/>
    <x v="34"/>
    <x v="3"/>
    <x v="3"/>
    <s v="T158"/>
    <x v="0"/>
    <s v="Advanced protocol"/>
    <n v="1438.3"/>
    <d v="2023-07-12T00:00:00"/>
    <s v="B039"/>
    <x v="25"/>
    <n v="2976.02"/>
    <x v="0"/>
    <x v="2"/>
  </r>
  <r>
    <s v="A159"/>
    <s v="P016"/>
    <s v="Michael Taylor"/>
    <x v="1"/>
    <d v="2000-07-22T00:00:00"/>
    <n v="7223380592"/>
    <s v="789 Pine Rd"/>
    <d v="2021-07-23T00:00:00"/>
    <x v="2"/>
    <s v="INS156958"/>
    <s v="michael.taylor@mail.com"/>
    <s v="D003"/>
    <x v="3"/>
    <x v="0"/>
    <n v="8737740598"/>
    <n v="19"/>
    <x v="1"/>
    <s v="dr.jane.smith@hospital.com"/>
    <x v="82"/>
    <x v="5"/>
    <x v="2"/>
    <x v="1"/>
    <s v="T159"/>
    <x v="0"/>
    <s v="Advanced protocol"/>
    <n v="4687.68"/>
    <d v="2023-04-08T00:00:00"/>
    <s v="B008"/>
    <x v="7"/>
    <n v="3413.64"/>
    <x v="2"/>
    <x v="2"/>
  </r>
  <r>
    <s v="A160"/>
    <s v="P039"/>
    <s v="Jane Wilson"/>
    <x v="0"/>
    <d v="1950-12-12T00:00:00"/>
    <n v="9271131338"/>
    <s v="789 Pine Rd"/>
    <d v="2021-03-09T00:00:00"/>
    <x v="2"/>
    <s v="INS348710"/>
    <s v="jane.wilson@mail.com"/>
    <s v="D001"/>
    <x v="8"/>
    <x v="2"/>
    <n v="8322010158"/>
    <n v="17"/>
    <x v="2"/>
    <s v="dr.david.taylor@hospital.com"/>
    <x v="126"/>
    <x v="4"/>
    <x v="2"/>
    <x v="2"/>
    <s v="T160"/>
    <x v="0"/>
    <s v="Basic screening"/>
    <n v="1023.65"/>
    <d v="2023-12-17T00:00:00"/>
    <s v="B009"/>
    <x v="8"/>
    <n v="4541.1400000000003"/>
    <x v="1"/>
    <x v="1"/>
  </r>
  <r>
    <s v="A161"/>
    <s v="P045"/>
    <s v="Linda Miller"/>
    <x v="0"/>
    <d v="1966-04-25T00:00:00"/>
    <n v="7579616535"/>
    <s v="321 Maple Dr"/>
    <d v="2021-01-23T00:00:00"/>
    <x v="1"/>
    <s v="INS701863"/>
    <s v="linda.miller@mail.com"/>
    <s v="D005"/>
    <x v="9"/>
    <x v="2"/>
    <n v="9118538547"/>
    <n v="26"/>
    <x v="0"/>
    <s v="dr.sarah.taylor@hospital.com"/>
    <x v="127"/>
    <x v="20"/>
    <x v="1"/>
    <x v="0"/>
    <s v="T161"/>
    <x v="0"/>
    <s v="Standard procedure"/>
    <n v="4178.5200000000004"/>
    <d v="2023-06-17T00:00:00"/>
    <s v="B006"/>
    <x v="5"/>
    <n v="1381"/>
    <x v="0"/>
    <x v="0"/>
  </r>
  <r>
    <s v="A162"/>
    <s v="P042"/>
    <s v="Jane Smith"/>
    <x v="0"/>
    <d v="1954-08-22T00:00:00"/>
    <n v="7040069008"/>
    <s v="789 Pine Rd"/>
    <d v="2022-03-15T00:00:00"/>
    <x v="1"/>
    <s v="INS956748"/>
    <s v="jane.smith@mail.com"/>
    <s v="D004"/>
    <x v="1"/>
    <x v="0"/>
    <n v="6594221991"/>
    <n v="28"/>
    <x v="0"/>
    <s v="dr.david.jones@hospital.com"/>
    <x v="38"/>
    <x v="13"/>
    <x v="2"/>
    <x v="1"/>
    <s v="T162"/>
    <x v="0"/>
    <s v="Standard procedure"/>
    <n v="2212.8000000000002"/>
    <d v="2023-01-01T00:00:00"/>
    <s v="B162"/>
    <x v="44"/>
    <n v="2212.8000000000002"/>
    <x v="2"/>
    <x v="1"/>
  </r>
  <r>
    <s v="A163"/>
    <s v="P039"/>
    <s v="Jane Wilson"/>
    <x v="0"/>
    <d v="1950-12-12T00:00:00"/>
    <n v="9271131338"/>
    <s v="789 Pine Rd"/>
    <d v="2021-03-09T00:00:00"/>
    <x v="2"/>
    <s v="INS348710"/>
    <s v="jane.wilson@mail.com"/>
    <s v="D010"/>
    <x v="5"/>
    <x v="1"/>
    <n v="6176383634"/>
    <n v="21"/>
    <x v="1"/>
    <s v="dr.linda.wilson@hospital.com"/>
    <x v="128"/>
    <x v="27"/>
    <x v="0"/>
    <x v="1"/>
    <s v="T163"/>
    <x v="4"/>
    <s v="Basic screening"/>
    <n v="4450.88"/>
    <d v="2023-06-27T00:00:00"/>
    <s v="B009"/>
    <x v="8"/>
    <n v="4541.1400000000003"/>
    <x v="1"/>
    <x v="1"/>
  </r>
  <r>
    <s v="A164"/>
    <s v="P014"/>
    <s v="Alex Taylor"/>
    <x v="1"/>
    <d v="1968-02-27T00:00:00"/>
    <n v="7292262512"/>
    <s v="789 Pine Rd"/>
    <d v="2023-12-12T00:00:00"/>
    <x v="1"/>
    <s v="INS118070"/>
    <s v="alex.taylor@mail.com"/>
    <s v="D008"/>
    <x v="7"/>
    <x v="2"/>
    <n v="9069162601"/>
    <n v="5"/>
    <x v="2"/>
    <s v="dr.linda.brown@hospital.com"/>
    <x v="129"/>
    <x v="13"/>
    <x v="0"/>
    <x v="2"/>
    <s v="T164"/>
    <x v="2"/>
    <s v="Standard procedure"/>
    <n v="4406.26"/>
    <d v="2023-07-28T00:00:00"/>
    <s v="B020"/>
    <x v="16"/>
    <n v="4113.62"/>
    <x v="1"/>
    <x v="2"/>
  </r>
  <r>
    <s v="A165"/>
    <s v="P031"/>
    <s v="Robert Miller"/>
    <x v="1"/>
    <d v="1987-01-14T00:00:00"/>
    <n v="8280346676"/>
    <s v="321 Maple Dr"/>
    <d v="2022-06-28T00:00:00"/>
    <x v="0"/>
    <s v="INS542905"/>
    <s v="robert.miller@mail.com"/>
    <s v="D001"/>
    <x v="8"/>
    <x v="2"/>
    <n v="8322010158"/>
    <n v="17"/>
    <x v="2"/>
    <s v="dr.david.taylor@hospital.com"/>
    <x v="28"/>
    <x v="9"/>
    <x v="1"/>
    <x v="2"/>
    <s v="T165"/>
    <x v="1"/>
    <s v="Advanced protocol"/>
    <n v="4126.66"/>
    <d v="2023-04-04T00:00:00"/>
    <s v="B044"/>
    <x v="27"/>
    <n v="4186.3500000000004"/>
    <x v="0"/>
    <x v="1"/>
  </r>
  <r>
    <s v="A166"/>
    <s v="P005"/>
    <s v="David Wilson"/>
    <x v="1"/>
    <d v="1960-06-23T00:00:00"/>
    <n v="7734463155"/>
    <s v="123 Elm St"/>
    <d v="2021-09-29T00:00:00"/>
    <x v="1"/>
    <s v="INS788105"/>
    <s v="david.wilson@mail.com"/>
    <s v="D010"/>
    <x v="5"/>
    <x v="1"/>
    <n v="6176383634"/>
    <n v="21"/>
    <x v="1"/>
    <s v="dr.linda.wilson@hospital.com"/>
    <x v="130"/>
    <x v="37"/>
    <x v="0"/>
    <x v="1"/>
    <s v="T166"/>
    <x v="2"/>
    <s v="Basic screening"/>
    <n v="4055.14"/>
    <d v="2023-01-12T00:00:00"/>
    <s v="B010"/>
    <x v="9"/>
    <n v="1595.67"/>
    <x v="2"/>
    <x v="1"/>
  </r>
  <r>
    <s v="A167"/>
    <s v="P035"/>
    <s v="David Wilson"/>
    <x v="0"/>
    <d v="1993-04-13T00:00:00"/>
    <n v="7039619487"/>
    <s v="123 Elm St"/>
    <d v="2023-07-09T00:00:00"/>
    <x v="1"/>
    <s v="INS897079"/>
    <s v="david.wilson@mail.com"/>
    <s v="D001"/>
    <x v="8"/>
    <x v="2"/>
    <n v="8322010158"/>
    <n v="17"/>
    <x v="2"/>
    <s v="dr.david.taylor@hospital.com"/>
    <x v="131"/>
    <x v="38"/>
    <x v="4"/>
    <x v="0"/>
    <s v="T167"/>
    <x v="0"/>
    <s v="Basic screening"/>
    <n v="1871.06"/>
    <d v="2023-11-15T00:00:00"/>
    <s v="B064"/>
    <x v="35"/>
    <n v="3815.93"/>
    <x v="2"/>
    <x v="1"/>
  </r>
  <r>
    <s v="A168"/>
    <s v="P023"/>
    <s v="Linda Johnson"/>
    <x v="1"/>
    <d v="1994-02-22T00:00:00"/>
    <n v="6141951830"/>
    <s v="789 Pine Rd"/>
    <d v="2021-12-27T00:00:00"/>
    <x v="0"/>
    <s v="INS730152"/>
    <s v="linda.johnson@mail.com"/>
    <s v="D004"/>
    <x v="1"/>
    <x v="0"/>
    <n v="6594221991"/>
    <n v="28"/>
    <x v="0"/>
    <s v="dr.david.jones@hospital.com"/>
    <x v="132"/>
    <x v="11"/>
    <x v="1"/>
    <x v="1"/>
    <s v="T168"/>
    <x v="4"/>
    <s v="Standard procedure"/>
    <n v="864.14"/>
    <d v="2023-09-29T00:00:00"/>
    <s v="B039"/>
    <x v="25"/>
    <n v="2976.02"/>
    <x v="0"/>
    <x v="2"/>
  </r>
  <r>
    <s v="A169"/>
    <s v="P029"/>
    <s v="David Smith"/>
    <x v="1"/>
    <d v="2005-05-15T00:00:00"/>
    <n v="8923607677"/>
    <s v="789 Pine Rd"/>
    <d v="2023-04-19T00:00:00"/>
    <x v="3"/>
    <s v="INS630089"/>
    <s v="david.smith@mail.com"/>
    <s v="D008"/>
    <x v="7"/>
    <x v="2"/>
    <n v="9069162601"/>
    <n v="5"/>
    <x v="2"/>
    <s v="dr.linda.brown@hospital.com"/>
    <x v="133"/>
    <x v="39"/>
    <x v="4"/>
    <x v="2"/>
    <s v="T169"/>
    <x v="3"/>
    <s v="Basic screening"/>
    <n v="2313.41"/>
    <d v="2023-07-24T00:00:00"/>
    <s v="B012"/>
    <x v="11"/>
    <n v="771.2"/>
    <x v="0"/>
    <x v="0"/>
  </r>
  <r>
    <s v="A170"/>
    <s v="P043"/>
    <s v="Linda Brown"/>
    <x v="1"/>
    <d v="1980-03-25T00:00:00"/>
    <n v="9127665406"/>
    <s v="789 Pine Rd"/>
    <d v="2022-07-18T00:00:00"/>
    <x v="0"/>
    <s v="INS882355"/>
    <s v="linda.brown@mail.com"/>
    <s v="D005"/>
    <x v="9"/>
    <x v="2"/>
    <n v="9118538547"/>
    <n v="26"/>
    <x v="0"/>
    <s v="dr.sarah.taylor@hospital.com"/>
    <x v="134"/>
    <x v="31"/>
    <x v="3"/>
    <x v="0"/>
    <s v="T170"/>
    <x v="4"/>
    <s v="Standard procedure"/>
    <n v="1280.8599999999999"/>
    <d v="2023-03-03T00:00:00"/>
    <s v="B067"/>
    <x v="36"/>
    <n v="930.72"/>
    <x v="1"/>
    <x v="0"/>
  </r>
  <r>
    <s v="A171"/>
    <s v="P011"/>
    <s v="Emily Jones"/>
    <x v="0"/>
    <d v="1966-12-04T00:00:00"/>
    <n v="8990604070"/>
    <s v="789 Pine Rd"/>
    <d v="2022-09-27T00:00:00"/>
    <x v="1"/>
    <s v="INS172991"/>
    <s v="emily.jones@mail.com"/>
    <s v="D002"/>
    <x v="6"/>
    <x v="0"/>
    <n v="9004382050"/>
    <n v="24"/>
    <x v="1"/>
    <s v="dr.jane.davis@hospital.com"/>
    <x v="32"/>
    <x v="35"/>
    <x v="4"/>
    <x v="2"/>
    <s v="T171"/>
    <x v="0"/>
    <s v="Standard procedure"/>
    <n v="3627.28"/>
    <d v="2023-04-18T00:00:00"/>
    <s v="B099"/>
    <x v="42"/>
    <n v="4101.6000000000004"/>
    <x v="1"/>
    <x v="0"/>
  </r>
  <r>
    <s v="A172"/>
    <s v="P018"/>
    <s v="Laura Wilson"/>
    <x v="1"/>
    <d v="1979-09-24T00:00:00"/>
    <n v="7145815738"/>
    <s v="789 Pine Rd"/>
    <d v="2022-09-23T00:00:00"/>
    <x v="2"/>
    <s v="INS635017"/>
    <s v="laura.wilson@mail.com"/>
    <s v="D006"/>
    <x v="2"/>
    <x v="0"/>
    <n v="6570137231"/>
    <n v="23"/>
    <x v="0"/>
    <s v="dr.alex.davis@hospital.com"/>
    <x v="54"/>
    <x v="5"/>
    <x v="3"/>
    <x v="0"/>
    <s v="T172"/>
    <x v="4"/>
    <s v="Standard procedure"/>
    <n v="2057.4499999999998"/>
    <d v="2023-03-09T00:00:00"/>
    <s v="B114"/>
    <x v="43"/>
    <n v="3030.34"/>
    <x v="2"/>
    <x v="0"/>
  </r>
  <r>
    <s v="A173"/>
    <s v="P047"/>
    <s v="Jane Moore"/>
    <x v="1"/>
    <d v="1995-12-13T00:00:00"/>
    <n v="8715732851"/>
    <s v="321 Maple Dr"/>
    <d v="2022-05-20T00:00:00"/>
    <x v="0"/>
    <s v="INS337549"/>
    <s v="jane.moore@mail.com"/>
    <s v="D005"/>
    <x v="9"/>
    <x v="2"/>
    <n v="9118538547"/>
    <n v="26"/>
    <x v="0"/>
    <s v="dr.sarah.taylor@hospital.com"/>
    <x v="135"/>
    <x v="33"/>
    <x v="3"/>
    <x v="3"/>
    <s v="T173"/>
    <x v="4"/>
    <s v="Standard procedure"/>
    <n v="4890.25"/>
    <d v="2023-06-04T00:00:00"/>
    <s v="B023"/>
    <x v="18"/>
    <n v="3246.5"/>
    <x v="1"/>
    <x v="0"/>
  </r>
  <r>
    <s v="A174"/>
    <s v="P012"/>
    <s v="Laura Davis"/>
    <x v="0"/>
    <d v="1991-12-08T00:00:00"/>
    <n v="8135666049"/>
    <s v="321 Maple Dr"/>
    <d v="2023-04-27T00:00:00"/>
    <x v="1"/>
    <s v="INS104014"/>
    <s v="laura.davis@mail.com"/>
    <s v="D002"/>
    <x v="6"/>
    <x v="0"/>
    <n v="9004382050"/>
    <n v="24"/>
    <x v="1"/>
    <s v="dr.jane.davis@hospital.com"/>
    <x v="136"/>
    <x v="25"/>
    <x v="4"/>
    <x v="2"/>
    <s v="T174"/>
    <x v="0"/>
    <s v="Standard procedure"/>
    <n v="3384.37"/>
    <d v="2023-10-31T00:00:00"/>
    <s v="B014"/>
    <x v="13"/>
    <n v="2082.3000000000002"/>
    <x v="1"/>
    <x v="1"/>
  </r>
  <r>
    <s v="A175"/>
    <s v="P009"/>
    <s v="Laura Davis"/>
    <x v="1"/>
    <d v="1971-12-11T00:00:00"/>
    <n v="7060324619"/>
    <s v="321 Maple Dr"/>
    <d v="2022-09-18T00:00:00"/>
    <x v="2"/>
    <s v="INS136631"/>
    <s v="laura.davis@mail.com"/>
    <s v="D003"/>
    <x v="3"/>
    <x v="0"/>
    <n v="8737740598"/>
    <n v="19"/>
    <x v="1"/>
    <s v="dr.jane.smith@hospital.com"/>
    <x v="137"/>
    <x v="15"/>
    <x v="1"/>
    <x v="2"/>
    <s v="T175"/>
    <x v="4"/>
    <s v="Basic screening"/>
    <n v="4201.16"/>
    <d v="2023-10-22T00:00:00"/>
    <s v="B107"/>
    <x v="25"/>
    <n v="3512.69"/>
    <x v="1"/>
    <x v="0"/>
  </r>
  <r>
    <s v="A176"/>
    <s v="P010"/>
    <s v="Michael Taylor"/>
    <x v="1"/>
    <d v="2001-10-13T00:00:00"/>
    <n v="7081396733"/>
    <s v="123 Elm St"/>
    <d v="2022-08-24T00:00:00"/>
    <x v="0"/>
    <s v="INS866577"/>
    <s v="michael.taylor@mail.com"/>
    <s v="D009"/>
    <x v="0"/>
    <x v="0"/>
    <n v="7387087517"/>
    <n v="26"/>
    <x v="0"/>
    <s v="dr.sarah.smith@hospital.com"/>
    <x v="138"/>
    <x v="29"/>
    <x v="0"/>
    <x v="1"/>
    <s v="T176"/>
    <x v="1"/>
    <s v="Advanced protocol"/>
    <n v="1096.3599999999999"/>
    <d v="2023-04-26T00:00:00"/>
    <s v="B040"/>
    <x v="26"/>
    <n v="695.36"/>
    <x v="2"/>
    <x v="2"/>
  </r>
  <r>
    <s v="A177"/>
    <s v="P044"/>
    <s v="Robert Taylor"/>
    <x v="0"/>
    <d v="1976-03-11T00:00:00"/>
    <n v="9449458981"/>
    <s v="321 Maple Dr"/>
    <d v="2023-01-26T00:00:00"/>
    <x v="2"/>
    <s v="INS364512"/>
    <s v="robert.taylor@mail.com"/>
    <s v="D007"/>
    <x v="4"/>
    <x v="1"/>
    <n v="8217493115"/>
    <n v="26"/>
    <x v="2"/>
    <s v="dr.robert.davis@hospital.com"/>
    <x v="12"/>
    <x v="23"/>
    <x v="0"/>
    <x v="2"/>
    <s v="T177"/>
    <x v="1"/>
    <s v="Advanced protocol"/>
    <n v="4379.07"/>
    <d v="2023-08-16T00:00:00"/>
    <s v="B076"/>
    <x v="37"/>
    <n v="4945.03"/>
    <x v="1"/>
    <x v="0"/>
  </r>
  <r>
    <s v="A178"/>
    <s v="P017"/>
    <s v="Jane Jones"/>
    <x v="1"/>
    <d v="1991-05-01T00:00:00"/>
    <n v="6158428240"/>
    <s v="456 Oak Ave"/>
    <d v="2022-09-26T00:00:00"/>
    <x v="0"/>
    <s v="INS182074"/>
    <s v="jane.jones@mail.com"/>
    <s v="D007"/>
    <x v="4"/>
    <x v="1"/>
    <n v="8217493115"/>
    <n v="26"/>
    <x v="2"/>
    <s v="dr.robert.davis@hospital.com"/>
    <x v="139"/>
    <x v="19"/>
    <x v="3"/>
    <x v="2"/>
    <s v="T178"/>
    <x v="4"/>
    <s v="Basic screening"/>
    <n v="4652.41"/>
    <d v="2023-01-17T00:00:00"/>
    <s v="B086"/>
    <x v="39"/>
    <n v="3759.52"/>
    <x v="2"/>
    <x v="0"/>
  </r>
  <r>
    <s v="A179"/>
    <s v="P038"/>
    <s v="David Smith"/>
    <x v="1"/>
    <d v="1991-06-25T00:00:00"/>
    <n v="6347262390"/>
    <s v="789 Pine Rd"/>
    <d v="2021-04-19T00:00:00"/>
    <x v="1"/>
    <s v="INS580761"/>
    <s v="david.smith@mail.com"/>
    <s v="D006"/>
    <x v="2"/>
    <x v="0"/>
    <n v="6570137231"/>
    <n v="23"/>
    <x v="0"/>
    <s v="dr.alex.davis@hospital.com"/>
    <x v="140"/>
    <x v="34"/>
    <x v="3"/>
    <x v="3"/>
    <s v="T179"/>
    <x v="3"/>
    <s v="Basic screening"/>
    <n v="2691.78"/>
    <d v="2023-03-08T00:00:00"/>
    <s v="B179"/>
    <x v="45"/>
    <n v="2691.78"/>
    <x v="2"/>
    <x v="2"/>
  </r>
  <r>
    <s v="A180"/>
    <s v="P007"/>
    <s v="Alex Johnson"/>
    <x v="0"/>
    <d v="1989-06-08T00:00:00"/>
    <n v="6278710077"/>
    <s v="789 Pine Rd"/>
    <d v="2021-12-25T00:00:00"/>
    <x v="1"/>
    <s v="INS465890"/>
    <s v="alex.johnson@mail.com"/>
    <s v="D008"/>
    <x v="7"/>
    <x v="2"/>
    <n v="9069162601"/>
    <n v="5"/>
    <x v="2"/>
    <s v="dr.linda.brown@hospital.com"/>
    <x v="141"/>
    <x v="14"/>
    <x v="1"/>
    <x v="2"/>
    <s v="T180"/>
    <x v="0"/>
    <s v="Advanced protocol"/>
    <n v="3228.14"/>
    <d v="2023-01-07T00:00:00"/>
    <s v="B095"/>
    <x v="18"/>
    <n v="2097.48"/>
    <x v="2"/>
    <x v="2"/>
  </r>
  <r>
    <s v="A181"/>
    <s v="P046"/>
    <s v="Michael Taylor"/>
    <x v="0"/>
    <d v="1986-09-01T00:00:00"/>
    <n v="8019925828"/>
    <s v="456 Oak Ave"/>
    <d v="2021-07-31T00:00:00"/>
    <x v="1"/>
    <s v="INS368799"/>
    <s v="michael.taylor@mail.com"/>
    <s v="D004"/>
    <x v="1"/>
    <x v="0"/>
    <n v="6594221991"/>
    <n v="28"/>
    <x v="0"/>
    <s v="dr.david.jones@hospital.com"/>
    <x v="142"/>
    <x v="19"/>
    <x v="2"/>
    <x v="3"/>
    <s v="T181"/>
    <x v="1"/>
    <s v="Advanced protocol"/>
    <n v="3941.64"/>
    <d v="2023-09-03T00:00:00"/>
    <s v="B026"/>
    <x v="21"/>
    <n v="2360.9699999999998"/>
    <x v="0"/>
    <x v="1"/>
  </r>
  <r>
    <s v="A182"/>
    <s v="P013"/>
    <s v="Laura Johnson"/>
    <x v="0"/>
    <d v="1990-03-28T00:00:00"/>
    <n v="9059178882"/>
    <s v="321 Maple Dr"/>
    <d v="2021-12-23T00:00:00"/>
    <x v="0"/>
    <s v="INS373237"/>
    <s v="laura.johnson@mail.com"/>
    <s v="D008"/>
    <x v="7"/>
    <x v="2"/>
    <n v="9069162601"/>
    <n v="5"/>
    <x v="2"/>
    <s v="dr.linda.brown@hospital.com"/>
    <x v="143"/>
    <x v="2"/>
    <x v="4"/>
    <x v="3"/>
    <s v="T182"/>
    <x v="3"/>
    <s v="Advanced protocol"/>
    <n v="1286.77"/>
    <d v="2023-04-12T00:00:00"/>
    <s v="B078"/>
    <x v="38"/>
    <n v="3628.15"/>
    <x v="1"/>
    <x v="1"/>
  </r>
  <r>
    <s v="A183"/>
    <s v="P040"/>
    <s v="Emily Williams"/>
    <x v="1"/>
    <d v="1972-05-30T00:00:00"/>
    <n v="7587653815"/>
    <s v="456 Oak Ave"/>
    <d v="2021-10-16T00:00:00"/>
    <x v="2"/>
    <s v="INS320984"/>
    <s v="emily.williams@mail.com"/>
    <s v="D004"/>
    <x v="1"/>
    <x v="0"/>
    <n v="6594221991"/>
    <n v="28"/>
    <x v="0"/>
    <s v="dr.david.jones@hospital.com"/>
    <x v="144"/>
    <x v="5"/>
    <x v="3"/>
    <x v="3"/>
    <s v="T183"/>
    <x v="4"/>
    <s v="Advanced protocol"/>
    <n v="2761.55"/>
    <d v="2023-02-03T00:00:00"/>
    <s v="B005"/>
    <x v="4"/>
    <n v="582.04999999999995"/>
    <x v="1"/>
    <x v="0"/>
  </r>
  <r>
    <s v="A184"/>
    <s v="P042"/>
    <s v="Jane Smith"/>
    <x v="0"/>
    <d v="1954-08-22T00:00:00"/>
    <n v="7040069008"/>
    <s v="789 Pine Rd"/>
    <d v="2022-03-15T00:00:00"/>
    <x v="1"/>
    <s v="INS956748"/>
    <s v="jane.smith@mail.com"/>
    <s v="D008"/>
    <x v="7"/>
    <x v="2"/>
    <n v="9069162601"/>
    <n v="5"/>
    <x v="2"/>
    <s v="dr.linda.brown@hospital.com"/>
    <x v="145"/>
    <x v="21"/>
    <x v="0"/>
    <x v="3"/>
    <s v="T184"/>
    <x v="3"/>
    <s v="Advanced protocol"/>
    <n v="2293.98"/>
    <d v="2023-02-26T00:00:00"/>
    <s v="B162"/>
    <x v="44"/>
    <n v="2212.8000000000002"/>
    <x v="2"/>
    <x v="1"/>
  </r>
  <r>
    <s v="A185"/>
    <s v="P009"/>
    <s v="Laura Davis"/>
    <x v="1"/>
    <d v="1971-12-11T00:00:00"/>
    <n v="7060324619"/>
    <s v="321 Maple Dr"/>
    <d v="2022-09-18T00:00:00"/>
    <x v="2"/>
    <s v="INS136631"/>
    <s v="laura.davis@mail.com"/>
    <s v="D009"/>
    <x v="0"/>
    <x v="0"/>
    <n v="7387087517"/>
    <n v="26"/>
    <x v="0"/>
    <s v="dr.sarah.smith@hospital.com"/>
    <x v="39"/>
    <x v="24"/>
    <x v="1"/>
    <x v="0"/>
    <s v="T185"/>
    <x v="2"/>
    <s v="Standard procedure"/>
    <n v="1158.68"/>
    <d v="2023-03-21T00:00:00"/>
    <s v="B107"/>
    <x v="25"/>
    <n v="3512.69"/>
    <x v="1"/>
    <x v="0"/>
  </r>
  <r>
    <s v="A186"/>
    <s v="P050"/>
    <s v="Laura Wilson"/>
    <x v="1"/>
    <d v="1993-12-27T00:00:00"/>
    <n v="8301134730"/>
    <s v="321 Maple Dr"/>
    <d v="2023-04-28T00:00:00"/>
    <x v="0"/>
    <s v="INS712210"/>
    <s v="laura.wilson@mail.com"/>
    <s v="D003"/>
    <x v="3"/>
    <x v="0"/>
    <n v="8737740598"/>
    <n v="19"/>
    <x v="1"/>
    <s v="dr.jane.smith@hospital.com"/>
    <x v="37"/>
    <x v="13"/>
    <x v="4"/>
    <x v="1"/>
    <s v="T186"/>
    <x v="1"/>
    <s v="Basic screening"/>
    <n v="2153.9"/>
    <d v="2023-03-27T00:00:00"/>
    <s v="B063"/>
    <x v="34"/>
    <n v="1256.06"/>
    <x v="0"/>
    <x v="2"/>
  </r>
  <r>
    <s v="A187"/>
    <s v="P027"/>
    <s v="Linda Moore"/>
    <x v="0"/>
    <d v="1998-06-29T00:00:00"/>
    <n v="8724518272"/>
    <s v="321 Maple Dr"/>
    <d v="2021-08-15T00:00:00"/>
    <x v="3"/>
    <s v="INS467654"/>
    <s v="linda.moore@mail.com"/>
    <s v="D003"/>
    <x v="3"/>
    <x v="0"/>
    <n v="8737740598"/>
    <n v="19"/>
    <x v="1"/>
    <s v="dr.jane.smith@hospital.com"/>
    <x v="146"/>
    <x v="23"/>
    <x v="1"/>
    <x v="0"/>
    <s v="T187"/>
    <x v="4"/>
    <s v="Standard procedure"/>
    <n v="806.78"/>
    <d v="2023-02-13T00:00:00"/>
    <s v="B059"/>
    <x v="32"/>
    <n v="929.91"/>
    <x v="2"/>
    <x v="0"/>
  </r>
  <r>
    <s v="A188"/>
    <s v="P002"/>
    <s v="Emily Smith"/>
    <x v="0"/>
    <d v="1984-10-12T00:00:00"/>
    <n v="8228188767"/>
    <s v="321 Maple Dr"/>
    <d v="2022-01-15T00:00:00"/>
    <x v="2"/>
    <s v="INS354079"/>
    <s v="emily.smith@mail.com"/>
    <s v="D002"/>
    <x v="6"/>
    <x v="0"/>
    <n v="9004382050"/>
    <n v="24"/>
    <x v="1"/>
    <s v="dr.jane.davis@hospital.com"/>
    <x v="143"/>
    <x v="35"/>
    <x v="4"/>
    <x v="2"/>
    <s v="T188"/>
    <x v="0"/>
    <s v="Advanced protocol"/>
    <n v="616.15"/>
    <d v="2023-04-12T00:00:00"/>
    <s v="B055"/>
    <x v="31"/>
    <n v="1736.63"/>
    <x v="2"/>
    <x v="2"/>
  </r>
  <r>
    <s v="A189"/>
    <s v="P005"/>
    <s v="David Wilson"/>
    <x v="1"/>
    <d v="1960-06-23T00:00:00"/>
    <n v="7734463155"/>
    <s v="123 Elm St"/>
    <d v="2021-09-29T00:00:00"/>
    <x v="1"/>
    <s v="INS788105"/>
    <s v="david.wilson@mail.com"/>
    <s v="D010"/>
    <x v="5"/>
    <x v="1"/>
    <n v="6176383634"/>
    <n v="21"/>
    <x v="1"/>
    <s v="dr.linda.wilson@hospital.com"/>
    <x v="147"/>
    <x v="33"/>
    <x v="4"/>
    <x v="0"/>
    <s v="T189"/>
    <x v="4"/>
    <s v="Advanced protocol"/>
    <n v="1108.25"/>
    <d v="2023-10-05T00:00:00"/>
    <s v="B010"/>
    <x v="9"/>
    <n v="1595.67"/>
    <x v="2"/>
    <x v="1"/>
  </r>
  <r>
    <s v="A190"/>
    <s v="P029"/>
    <s v="David Smith"/>
    <x v="1"/>
    <d v="2005-05-15T00:00:00"/>
    <n v="8923607677"/>
    <s v="789 Pine Rd"/>
    <d v="2023-04-19T00:00:00"/>
    <x v="3"/>
    <s v="INS630089"/>
    <s v="david.smith@mail.com"/>
    <s v="D003"/>
    <x v="3"/>
    <x v="0"/>
    <n v="8737740598"/>
    <n v="19"/>
    <x v="1"/>
    <s v="dr.jane.smith@hospital.com"/>
    <x v="148"/>
    <x v="0"/>
    <x v="3"/>
    <x v="0"/>
    <s v="T190"/>
    <x v="0"/>
    <s v="Advanced protocol"/>
    <n v="4834.0200000000004"/>
    <d v="2023-11-16T00:00:00"/>
    <s v="B012"/>
    <x v="11"/>
    <n v="771.2"/>
    <x v="0"/>
    <x v="0"/>
  </r>
  <r>
    <s v="A191"/>
    <s v="P037"/>
    <s v="Robert Williams"/>
    <x v="1"/>
    <d v="1999-02-05T00:00:00"/>
    <n v="8886800195"/>
    <s v="456 Oak Ave"/>
    <d v="2021-09-30T00:00:00"/>
    <x v="3"/>
    <s v="INS319963"/>
    <s v="robert.williams@mail.com"/>
    <s v="D003"/>
    <x v="3"/>
    <x v="0"/>
    <n v="8737740598"/>
    <n v="19"/>
    <x v="1"/>
    <s v="dr.jane.smith@hospital.com"/>
    <x v="143"/>
    <x v="10"/>
    <x v="1"/>
    <x v="2"/>
    <s v="T191"/>
    <x v="4"/>
    <s v="Standard procedure"/>
    <n v="2972.88"/>
    <d v="2023-04-12T00:00:00"/>
    <s v="B017"/>
    <x v="15"/>
    <n v="1655.49"/>
    <x v="1"/>
    <x v="0"/>
  </r>
  <r>
    <s v="A192"/>
    <s v="P038"/>
    <s v="David Smith"/>
    <x v="1"/>
    <d v="1991-06-25T00:00:00"/>
    <n v="6347262390"/>
    <s v="789 Pine Rd"/>
    <d v="2021-04-19T00:00:00"/>
    <x v="1"/>
    <s v="INS580761"/>
    <s v="david.smith@mail.com"/>
    <s v="D005"/>
    <x v="9"/>
    <x v="2"/>
    <n v="9118538547"/>
    <n v="26"/>
    <x v="0"/>
    <s v="dr.sarah.taylor@hospital.com"/>
    <x v="149"/>
    <x v="18"/>
    <x v="1"/>
    <x v="2"/>
    <s v="T192"/>
    <x v="3"/>
    <s v="Standard procedure"/>
    <n v="4846.2"/>
    <d v="2023-08-31T00:00:00"/>
    <s v="B179"/>
    <x v="45"/>
    <n v="2691.78"/>
    <x v="2"/>
    <x v="2"/>
  </r>
  <r>
    <s v="A193"/>
    <s v="P019"/>
    <s v="Sarah Miller"/>
    <x v="1"/>
    <d v="1975-05-24T00:00:00"/>
    <n v="8618058864"/>
    <s v="789 Pine Rd"/>
    <d v="2023-06-24T00:00:00"/>
    <x v="0"/>
    <s v="INS855073"/>
    <s v="sarah.miller@mail.com"/>
    <s v="D005"/>
    <x v="9"/>
    <x v="2"/>
    <n v="9118538547"/>
    <n v="26"/>
    <x v="0"/>
    <s v="dr.sarah.taylor@hospital.com"/>
    <x v="150"/>
    <x v="38"/>
    <x v="0"/>
    <x v="2"/>
    <s v="T193"/>
    <x v="3"/>
    <s v="Advanced protocol"/>
    <n v="2446.2399999999998"/>
    <d v="2023-09-15T00:00:00"/>
    <s v="B046"/>
    <x v="28"/>
    <n v="1526.36"/>
    <x v="2"/>
    <x v="1"/>
  </r>
  <r>
    <s v="A194"/>
    <s v="P008"/>
    <s v="David Davis"/>
    <x v="0"/>
    <d v="1976-07-05T00:00:00"/>
    <n v="7090558393"/>
    <s v="456 Oak Ave"/>
    <d v="2021-05-25T00:00:00"/>
    <x v="0"/>
    <s v="INS545101"/>
    <s v="david.davis@mail.com"/>
    <s v="D002"/>
    <x v="6"/>
    <x v="0"/>
    <n v="9004382050"/>
    <n v="24"/>
    <x v="1"/>
    <s v="dr.jane.davis@hospital.com"/>
    <x v="151"/>
    <x v="4"/>
    <x v="0"/>
    <x v="0"/>
    <s v="T194"/>
    <x v="3"/>
    <s v="Standard procedure"/>
    <n v="1903.17"/>
    <d v="2023-04-06T00:00:00"/>
    <s v="B088"/>
    <x v="40"/>
    <n v="1733.72"/>
    <x v="2"/>
    <x v="1"/>
  </r>
  <r>
    <s v="A195"/>
    <s v="P048"/>
    <s v="Emily Miller"/>
    <x v="1"/>
    <d v="1983-03-24T00:00:00"/>
    <n v="8720989381"/>
    <s v="123 Elm St"/>
    <d v="2023-06-19T00:00:00"/>
    <x v="2"/>
    <s v="INS694319"/>
    <s v="emily.miller@mail.com"/>
    <s v="D010"/>
    <x v="5"/>
    <x v="1"/>
    <n v="6176383634"/>
    <n v="21"/>
    <x v="1"/>
    <s v="dr.linda.wilson@hospital.com"/>
    <x v="152"/>
    <x v="13"/>
    <x v="3"/>
    <x v="0"/>
    <s v="T195"/>
    <x v="2"/>
    <s v="Standard procedure"/>
    <n v="2777.64"/>
    <d v="2023-08-19T00:00:00"/>
    <s v="B003"/>
    <x v="2"/>
    <n v="3731.55"/>
    <x v="0"/>
    <x v="1"/>
  </r>
  <r>
    <s v="A196"/>
    <s v="P045"/>
    <s v="Linda Miller"/>
    <x v="0"/>
    <d v="1966-04-25T00:00:00"/>
    <n v="7579616535"/>
    <s v="321 Maple Dr"/>
    <d v="2021-01-23T00:00:00"/>
    <x v="1"/>
    <s v="INS701863"/>
    <s v="linda.miller@mail.com"/>
    <s v="D006"/>
    <x v="2"/>
    <x v="0"/>
    <n v="6570137231"/>
    <n v="23"/>
    <x v="0"/>
    <s v="dr.alex.davis@hospital.com"/>
    <x v="153"/>
    <x v="16"/>
    <x v="3"/>
    <x v="2"/>
    <s v="T196"/>
    <x v="0"/>
    <s v="Advanced protocol"/>
    <n v="2477.8000000000002"/>
    <d v="2023-10-26T00:00:00"/>
    <s v="B006"/>
    <x v="5"/>
    <n v="1381"/>
    <x v="0"/>
    <x v="0"/>
  </r>
  <r>
    <s v="A197"/>
    <s v="P001"/>
    <s v="David Williams"/>
    <x v="0"/>
    <d v="1955-06-04T00:00:00"/>
    <n v="6939585183"/>
    <s v="789 Pine Rd"/>
    <d v="2022-06-23T00:00:00"/>
    <x v="0"/>
    <s v="INS840674"/>
    <s v="david.williams@mail.com"/>
    <s v="D005"/>
    <x v="9"/>
    <x v="2"/>
    <n v="9118538547"/>
    <n v="26"/>
    <x v="0"/>
    <s v="dr.sarah.taylor@hospital.com"/>
    <x v="154"/>
    <x v="33"/>
    <x v="2"/>
    <x v="1"/>
    <s v="T197"/>
    <x v="3"/>
    <s v="Standard procedure"/>
    <n v="975.49"/>
    <d v="2023-04-01T00:00:00"/>
    <s v="B007"/>
    <x v="6"/>
    <n v="534.03"/>
    <x v="2"/>
    <x v="2"/>
  </r>
  <r>
    <s v="A198"/>
    <s v="P022"/>
    <s v="John Brown"/>
    <x v="1"/>
    <d v="1955-05-10T00:00:00"/>
    <n v="6221099573"/>
    <s v="321 Maple Dr"/>
    <d v="2021-05-11T00:00:00"/>
    <x v="1"/>
    <s v="INS258823"/>
    <s v="john.brown@mail.com"/>
    <s v="D006"/>
    <x v="2"/>
    <x v="0"/>
    <n v="6570137231"/>
    <n v="23"/>
    <x v="0"/>
    <s v="dr.alex.davis@hospital.com"/>
    <x v="155"/>
    <x v="32"/>
    <x v="0"/>
    <x v="1"/>
    <s v="T198"/>
    <x v="2"/>
    <s v="Basic screening"/>
    <n v="3383.72"/>
    <d v="2023-05-15T00:00:00"/>
    <s v="B011"/>
    <x v="10"/>
    <n v="4671.66"/>
    <x v="2"/>
    <x v="2"/>
  </r>
  <r>
    <s v="A199"/>
    <s v="P017"/>
    <s v="Jane Jones"/>
    <x v="1"/>
    <d v="1991-05-01T00:00:00"/>
    <n v="6158428240"/>
    <s v="456 Oak Ave"/>
    <d v="2022-09-26T00:00:00"/>
    <x v="0"/>
    <s v="INS182074"/>
    <s v="jane.jones@mail.com"/>
    <s v="D001"/>
    <x v="8"/>
    <x v="2"/>
    <n v="8322010158"/>
    <n v="17"/>
    <x v="2"/>
    <s v="dr.david.taylor@hospital.com"/>
    <x v="156"/>
    <x v="4"/>
    <x v="4"/>
    <x v="3"/>
    <s v="T199"/>
    <x v="0"/>
    <s v="Basic screening"/>
    <n v="1472.17"/>
    <d v="2023-05-01T00:00:00"/>
    <s v="B086"/>
    <x v="39"/>
    <n v="3759.52"/>
    <x v="2"/>
    <x v="0"/>
  </r>
  <r>
    <s v="A200"/>
    <s v="P007"/>
    <s v="Alex Johnson"/>
    <x v="0"/>
    <d v="1989-06-08T00:00:00"/>
    <n v="6278710077"/>
    <s v="789 Pine Rd"/>
    <d v="2021-12-25T00:00:00"/>
    <x v="1"/>
    <s v="INS465890"/>
    <s v="alex.johnson@mail.com"/>
    <s v="D005"/>
    <x v="9"/>
    <x v="2"/>
    <n v="9118538547"/>
    <n v="26"/>
    <x v="0"/>
    <s v="dr.sarah.taylor@hospital.com"/>
    <x v="157"/>
    <x v="36"/>
    <x v="1"/>
    <x v="2"/>
    <s v="T200"/>
    <x v="4"/>
    <s v="Basic screening"/>
    <n v="3288.15"/>
    <d v="2023-12-30T00:00:00"/>
    <s v="B095"/>
    <x v="18"/>
    <n v="2097.48"/>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F8C63C-DEB5-4687-8954-4B58EC30A60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23:C25" firstHeaderRow="1" firstDataRow="1" firstDataCol="1"/>
  <pivotFields count="36">
    <pivotField showAll="0"/>
    <pivotField showAll="0"/>
    <pivotField showAll="0"/>
    <pivotField showAll="0">
      <items count="3">
        <item x="0"/>
        <item x="1"/>
        <item t="default"/>
      </items>
    </pivotField>
    <pivotField numFmtId="14" showAll="0"/>
    <pivotField showAll="0"/>
    <pivotField showAll="0"/>
    <pivotField numFmtId="14" showAll="0"/>
    <pivotField showAll="0"/>
    <pivotField showAll="0"/>
    <pivotField showAll="0"/>
    <pivotField showAll="0"/>
    <pivotField showAll="0">
      <items count="11">
        <item x="2"/>
        <item x="1"/>
        <item x="8"/>
        <item x="6"/>
        <item x="3"/>
        <item x="7"/>
        <item x="5"/>
        <item x="4"/>
        <item x="0"/>
        <item x="9"/>
        <item t="default"/>
      </items>
    </pivotField>
    <pivotField showAll="0">
      <items count="4">
        <item x="2"/>
        <item h="1" x="1"/>
        <item h="1" x="0"/>
        <item t="default"/>
      </items>
    </pivotField>
    <pivotField showAll="0"/>
    <pivotField showAll="0"/>
    <pivotField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showAll="0">
      <items count="5">
        <item x="2"/>
        <item x="3"/>
        <item x="1"/>
        <item x="0"/>
        <item t="default"/>
      </items>
    </pivotField>
    <pivotField showAll="0"/>
    <pivotField axis="axisRow" showAll="0">
      <items count="6">
        <item x="0"/>
        <item h="1" x="2"/>
        <item h="1" x="1"/>
        <item h="1" x="3"/>
        <item h="1" x="4"/>
        <item t="default"/>
      </items>
    </pivotField>
    <pivotField showAll="0"/>
    <pivotField numFmtId="164" showAll="0"/>
    <pivotField numFmtId="14"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dataField="1"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3"/>
  </rowFields>
  <rowItems count="2">
    <i>
      <x/>
    </i>
    <i t="grand">
      <x/>
    </i>
  </rowItems>
  <colItems count="1">
    <i/>
  </colItems>
  <dataFields count="1">
    <dataField name="Sum of Amount" fld="29" baseField="0" baseItem="0" numFmtId="164"/>
  </dataFields>
  <formats count="25">
    <format dxfId="20806">
      <pivotArea type="all" dataOnly="0" outline="0" fieldPosition="0"/>
    </format>
    <format dxfId="20805">
      <pivotArea outline="0" collapsedLevelsAreSubtotals="1" fieldPosition="0"/>
    </format>
    <format dxfId="20804">
      <pivotArea field="23" type="button" dataOnly="0" labelOnly="1" outline="0" axis="axisRow" fieldPosition="0"/>
    </format>
    <format dxfId="20803">
      <pivotArea dataOnly="0" labelOnly="1" fieldPosition="0">
        <references count="1">
          <reference field="23" count="0"/>
        </references>
      </pivotArea>
    </format>
    <format dxfId="20802">
      <pivotArea dataOnly="0" labelOnly="1" grandRow="1" outline="0" fieldPosition="0"/>
    </format>
    <format dxfId="20801">
      <pivotArea dataOnly="0" labelOnly="1" outline="0" axis="axisValues" fieldPosition="0"/>
    </format>
    <format dxfId="20800">
      <pivotArea type="all" dataOnly="0" outline="0" fieldPosition="0"/>
    </format>
    <format dxfId="20799">
      <pivotArea outline="0" collapsedLevelsAreSubtotals="1" fieldPosition="0"/>
    </format>
    <format dxfId="20798">
      <pivotArea field="23" type="button" dataOnly="0" labelOnly="1" outline="0" axis="axisRow" fieldPosition="0"/>
    </format>
    <format dxfId="20797">
      <pivotArea dataOnly="0" labelOnly="1" fieldPosition="0">
        <references count="1">
          <reference field="23" count="0"/>
        </references>
      </pivotArea>
    </format>
    <format dxfId="20796">
      <pivotArea dataOnly="0" labelOnly="1" grandRow="1" outline="0" fieldPosition="0"/>
    </format>
    <format dxfId="20795">
      <pivotArea dataOnly="0" labelOnly="1" outline="0" axis="axisValues" fieldPosition="0"/>
    </format>
    <format dxfId="20794">
      <pivotArea type="all" dataOnly="0" outline="0" fieldPosition="0"/>
    </format>
    <format dxfId="20793">
      <pivotArea outline="0" collapsedLevelsAreSubtotals="1" fieldPosition="0"/>
    </format>
    <format dxfId="20792">
      <pivotArea field="23" type="button" dataOnly="0" labelOnly="1" outline="0" axis="axisRow" fieldPosition="0"/>
    </format>
    <format dxfId="20791">
      <pivotArea dataOnly="0" labelOnly="1" fieldPosition="0">
        <references count="1">
          <reference field="23" count="0"/>
        </references>
      </pivotArea>
    </format>
    <format dxfId="20790">
      <pivotArea dataOnly="0" labelOnly="1" grandRow="1" outline="0" fieldPosition="0"/>
    </format>
    <format dxfId="20789">
      <pivotArea dataOnly="0" labelOnly="1" outline="0" axis="axisValues" fieldPosition="0"/>
    </format>
    <format dxfId="20788">
      <pivotArea type="all" dataOnly="0" outline="0" fieldPosition="0"/>
    </format>
    <format dxfId="20787">
      <pivotArea outline="0" collapsedLevelsAreSubtotals="1" fieldPosition="0"/>
    </format>
    <format dxfId="20786">
      <pivotArea field="23" type="button" dataOnly="0" labelOnly="1" outline="0" axis="axisRow" fieldPosition="0"/>
    </format>
    <format dxfId="20785">
      <pivotArea dataOnly="0" labelOnly="1" fieldPosition="0">
        <references count="1">
          <reference field="23" count="0"/>
        </references>
      </pivotArea>
    </format>
    <format dxfId="20784">
      <pivotArea dataOnly="0" labelOnly="1" grandRow="1" outline="0" fieldPosition="0"/>
    </format>
    <format dxfId="20783">
      <pivotArea dataOnly="0" labelOnly="1" outline="0" axis="axisValues" fieldPosition="0"/>
    </format>
    <format dxfId="20782">
      <pivotArea outline="0" collapsedLevelsAreSubtotals="1" fieldPosition="0"/>
    </format>
  </formats>
  <chartFormats count="1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3" count="1" selected="0">
            <x v="0"/>
          </reference>
        </references>
      </pivotArea>
    </chartFormat>
    <chartFormat chart="3" format="4">
      <pivotArea type="data" outline="0" fieldPosition="0">
        <references count="2">
          <reference field="4294967294" count="1" selected="0">
            <x v="0"/>
          </reference>
          <reference field="23" count="1" selected="0">
            <x v="4"/>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3" count="1" selected="0">
            <x v="0"/>
          </reference>
        </references>
      </pivotArea>
    </chartFormat>
    <chartFormat chart="11" format="10">
      <pivotArea type="data" outline="0" fieldPosition="0">
        <references count="2">
          <reference field="4294967294" count="1" selected="0">
            <x v="0"/>
          </reference>
          <reference field="23" count="1" selected="0">
            <x v="4"/>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3" count="1" selected="0">
            <x v="0"/>
          </reference>
        </references>
      </pivotArea>
    </chartFormat>
    <chartFormat chart="13" format="7">
      <pivotArea type="data" outline="0" fieldPosition="0">
        <references count="2">
          <reference field="4294967294" count="1" selected="0">
            <x v="0"/>
          </reference>
          <reference field="23" count="1" selected="0">
            <x v="4"/>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23" count="1" selected="0">
            <x v="0"/>
          </reference>
        </references>
      </pivotArea>
    </chartFormat>
    <chartFormat chart="14" format="10">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filters count="2">
    <filter fld="28" type="dateBetween" evalOrder="-1" id="2641"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37"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44DF5-CE14-4A9F-B957-982CF9E171E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H23:I25" firstHeaderRow="1" firstDataRow="1" firstDataCol="1"/>
  <pivotFields count="36">
    <pivotField showAll="0"/>
    <pivotField showAll="0"/>
    <pivotField showAll="0"/>
    <pivotField showAll="0">
      <items count="3">
        <item x="0"/>
        <item x="1"/>
        <item t="default"/>
      </items>
    </pivotField>
    <pivotField numFmtId="14" showAll="0"/>
    <pivotField showAll="0"/>
    <pivotField showAll="0"/>
    <pivotField numFmtId="14" showAll="0"/>
    <pivotField showAll="0"/>
    <pivotField showAll="0"/>
    <pivotField showAll="0"/>
    <pivotField showAll="0"/>
    <pivotField showAll="0">
      <items count="11">
        <item x="2"/>
        <item x="1"/>
        <item x="8"/>
        <item x="6"/>
        <item x="3"/>
        <item x="7"/>
        <item x="5"/>
        <item x="4"/>
        <item x="0"/>
        <item x="9"/>
        <item t="default"/>
      </items>
    </pivotField>
    <pivotField showAll="0">
      <items count="4">
        <item x="2"/>
        <item h="1" x="1"/>
        <item h="1" x="0"/>
        <item t="default"/>
      </items>
    </pivotField>
    <pivotField showAll="0"/>
    <pivotField showAll="0"/>
    <pivotField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showAll="0">
      <items count="5">
        <item x="2"/>
        <item x="3"/>
        <item x="1"/>
        <item x="0"/>
        <item t="default"/>
      </items>
    </pivotField>
    <pivotField showAll="0"/>
    <pivotField axis="axisRow" showAll="0">
      <items count="6">
        <item x="0"/>
        <item h="1" x="2"/>
        <item h="1" x="1"/>
        <item h="1" x="3"/>
        <item h="1" x="4"/>
        <item t="default"/>
      </items>
    </pivotField>
    <pivotField showAll="0"/>
    <pivotField dataField="1" numFmtId="164" showAll="0"/>
    <pivotField numFmtId="14"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3"/>
  </rowFields>
  <rowItems count="2">
    <i>
      <x/>
    </i>
    <i t="grand">
      <x/>
    </i>
  </rowItems>
  <colItems count="1">
    <i/>
  </colItems>
  <dataFields count="1">
    <dataField name="Average of Cost" fld="25" subtotal="average" baseField="0" baseItem="0" numFmtId="164"/>
  </dataFields>
  <formats count="25">
    <format dxfId="20831">
      <pivotArea type="all" dataOnly="0" outline="0" fieldPosition="0"/>
    </format>
    <format dxfId="20830">
      <pivotArea outline="0" collapsedLevelsAreSubtotals="1" fieldPosition="0"/>
    </format>
    <format dxfId="20829">
      <pivotArea field="23" type="button" dataOnly="0" labelOnly="1" outline="0" axis="axisRow" fieldPosition="0"/>
    </format>
    <format dxfId="20828">
      <pivotArea dataOnly="0" labelOnly="1" fieldPosition="0">
        <references count="1">
          <reference field="23" count="0"/>
        </references>
      </pivotArea>
    </format>
    <format dxfId="20827">
      <pivotArea dataOnly="0" labelOnly="1" grandRow="1" outline="0" fieldPosition="0"/>
    </format>
    <format dxfId="20826">
      <pivotArea dataOnly="0" labelOnly="1" outline="0" axis="axisValues" fieldPosition="0"/>
    </format>
    <format dxfId="20825">
      <pivotArea type="all" dataOnly="0" outline="0" fieldPosition="0"/>
    </format>
    <format dxfId="20824">
      <pivotArea outline="0" collapsedLevelsAreSubtotals="1" fieldPosition="0"/>
    </format>
    <format dxfId="20823">
      <pivotArea field="23" type="button" dataOnly="0" labelOnly="1" outline="0" axis="axisRow" fieldPosition="0"/>
    </format>
    <format dxfId="20822">
      <pivotArea dataOnly="0" labelOnly="1" fieldPosition="0">
        <references count="1">
          <reference field="23" count="0"/>
        </references>
      </pivotArea>
    </format>
    <format dxfId="20821">
      <pivotArea dataOnly="0" labelOnly="1" grandRow="1" outline="0" fieldPosition="0"/>
    </format>
    <format dxfId="20820">
      <pivotArea dataOnly="0" labelOnly="1" outline="0" axis="axisValues" fieldPosition="0"/>
    </format>
    <format dxfId="20819">
      <pivotArea type="all" dataOnly="0" outline="0" fieldPosition="0"/>
    </format>
    <format dxfId="20818">
      <pivotArea outline="0" collapsedLevelsAreSubtotals="1" fieldPosition="0"/>
    </format>
    <format dxfId="20817">
      <pivotArea field="23" type="button" dataOnly="0" labelOnly="1" outline="0" axis="axisRow" fieldPosition="0"/>
    </format>
    <format dxfId="20816">
      <pivotArea dataOnly="0" labelOnly="1" fieldPosition="0">
        <references count="1">
          <reference field="23" count="0"/>
        </references>
      </pivotArea>
    </format>
    <format dxfId="20815">
      <pivotArea dataOnly="0" labelOnly="1" grandRow="1" outline="0" fieldPosition="0"/>
    </format>
    <format dxfId="20814">
      <pivotArea dataOnly="0" labelOnly="1" outline="0" axis="axisValues" fieldPosition="0"/>
    </format>
    <format dxfId="20813">
      <pivotArea type="all" dataOnly="0" outline="0" fieldPosition="0"/>
    </format>
    <format dxfId="20812">
      <pivotArea outline="0" collapsedLevelsAreSubtotals="1" fieldPosition="0"/>
    </format>
    <format dxfId="20811">
      <pivotArea field="23" type="button" dataOnly="0" labelOnly="1" outline="0" axis="axisRow" fieldPosition="0"/>
    </format>
    <format dxfId="20810">
      <pivotArea dataOnly="0" labelOnly="1" fieldPosition="0">
        <references count="1">
          <reference field="23" count="0"/>
        </references>
      </pivotArea>
    </format>
    <format dxfId="20809">
      <pivotArea dataOnly="0" labelOnly="1" grandRow="1" outline="0" fieldPosition="0"/>
    </format>
    <format dxfId="20808">
      <pivotArea dataOnly="0" labelOnly="1" outline="0" axis="axisValues" fieldPosition="0"/>
    </format>
    <format dxfId="20807">
      <pivotArea outline="0" collapsedLevelsAreSubtotals="1" fieldPosition="0"/>
    </format>
  </formats>
  <chartFormats count="12">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3" count="1" selected="0">
            <x v="4"/>
          </reference>
        </references>
      </pivotArea>
    </chartFormat>
    <chartFormat chart="12" format="4">
      <pivotArea type="data" outline="0" fieldPosition="0">
        <references count="2">
          <reference field="4294967294" count="1" selected="0">
            <x v="0"/>
          </reference>
          <reference field="23" count="1" selected="0">
            <x v="3"/>
          </reference>
        </references>
      </pivotArea>
    </chartFormat>
    <chartFormat chart="12" format="5">
      <pivotArea type="data" outline="0" fieldPosition="0">
        <references count="2">
          <reference field="4294967294" count="1" selected="0">
            <x v="0"/>
          </reference>
          <reference field="23" count="1" selected="0">
            <x v="2"/>
          </reference>
        </references>
      </pivotArea>
    </chartFormat>
    <chartFormat chart="12" format="6">
      <pivotArea type="data" outline="0" fieldPosition="0">
        <references count="2">
          <reference field="4294967294" count="1" selected="0">
            <x v="0"/>
          </reference>
          <reference field="23" count="1" selected="0">
            <x v="1"/>
          </reference>
        </references>
      </pivotArea>
    </chartFormat>
    <chartFormat chart="12" format="7">
      <pivotArea type="data" outline="0" fieldPosition="0">
        <references count="2">
          <reference field="4294967294" count="1" selected="0">
            <x v="0"/>
          </reference>
          <reference field="23" count="1" selected="0">
            <x v="0"/>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23" count="1" selected="0">
            <x v="0"/>
          </reference>
        </references>
      </pivotArea>
    </chartFormat>
    <chartFormat chart="16" format="16">
      <pivotArea type="data" outline="0" fieldPosition="0">
        <references count="2">
          <reference field="4294967294" count="1" selected="0">
            <x v="0"/>
          </reference>
          <reference field="23" count="1" selected="0">
            <x v="1"/>
          </reference>
        </references>
      </pivotArea>
    </chartFormat>
    <chartFormat chart="16" format="17">
      <pivotArea type="data" outline="0" fieldPosition="0">
        <references count="2">
          <reference field="4294967294" count="1" selected="0">
            <x v="0"/>
          </reference>
          <reference field="23" count="1" selected="0">
            <x v="2"/>
          </reference>
        </references>
      </pivotArea>
    </chartFormat>
    <chartFormat chart="16" format="18">
      <pivotArea type="data" outline="0" fieldPosition="0">
        <references count="2">
          <reference field="4294967294" count="1" selected="0">
            <x v="0"/>
          </reference>
          <reference field="23" count="1" selected="0">
            <x v="3"/>
          </reference>
        </references>
      </pivotArea>
    </chartFormat>
    <chartFormat chart="16" format="19">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filters count="2">
    <filter fld="28" type="dateBetween" evalOrder="-1" id="2641"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37"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6C65E0-5833-4223-BBC2-71D746080C1F}"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E16:F18" firstHeaderRow="1" firstDataRow="1" firstDataCol="1"/>
  <pivotFields count="36">
    <pivotField dataField="1" showAll="0"/>
    <pivotField showAll="0"/>
    <pivotField showAll="0"/>
    <pivotField showAll="0">
      <items count="3">
        <item x="0"/>
        <item x="1"/>
        <item t="default"/>
      </items>
    </pivotField>
    <pivotField numFmtId="14" showAll="0"/>
    <pivotField showAll="0"/>
    <pivotField showAll="0"/>
    <pivotField numFmtId="14" showAll="0"/>
    <pivotField showAll="0"/>
    <pivotField showAll="0"/>
    <pivotField showAll="0"/>
    <pivotField showAll="0"/>
    <pivotField showAll="0">
      <items count="11">
        <item x="2"/>
        <item x="1"/>
        <item x="8"/>
        <item x="6"/>
        <item x="3"/>
        <item x="7"/>
        <item x="5"/>
        <item x="4"/>
        <item x="0"/>
        <item x="9"/>
        <item t="default"/>
      </items>
    </pivotField>
    <pivotField showAll="0">
      <items count="4">
        <item x="2"/>
        <item h="1" x="1"/>
        <item h="1" x="0"/>
        <item t="default"/>
      </items>
    </pivotField>
    <pivotField showAll="0"/>
    <pivotField showAll="0"/>
    <pivotField axis="axisRow"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showAll="0">
      <items count="5">
        <item x="2"/>
        <item x="3"/>
        <item x="1"/>
        <item x="0"/>
        <item t="default"/>
      </items>
    </pivotField>
    <pivotField showAll="0"/>
    <pivotField showAll="0">
      <items count="6">
        <item x="0"/>
        <item h="1" x="2"/>
        <item h="1" x="1"/>
        <item h="1" x="3"/>
        <item h="1" x="4"/>
        <item t="default"/>
      </items>
    </pivotField>
    <pivotField showAll="0"/>
    <pivotField numFmtId="164" showAll="0"/>
    <pivotField numFmtId="14"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6"/>
  </rowFields>
  <rowItems count="2">
    <i>
      <x/>
    </i>
    <i t="grand">
      <x/>
    </i>
  </rowItems>
  <colItems count="1">
    <i/>
  </colItems>
  <dataFields count="1">
    <dataField name="Count of Appointment_id" fld="0" subtotal="count" baseField="0" baseItem="0"/>
  </dataFields>
  <formats count="25">
    <format dxfId="20856">
      <pivotArea type="all" dataOnly="0" outline="0" fieldPosition="0"/>
    </format>
    <format dxfId="20855">
      <pivotArea outline="0" collapsedLevelsAreSubtotals="1" fieldPosition="0"/>
    </format>
    <format dxfId="20854">
      <pivotArea field="16" type="button" dataOnly="0" labelOnly="1" outline="0" axis="axisRow" fieldPosition="0"/>
    </format>
    <format dxfId="20853">
      <pivotArea dataOnly="0" labelOnly="1" fieldPosition="0">
        <references count="1">
          <reference field="16" count="0"/>
        </references>
      </pivotArea>
    </format>
    <format dxfId="20852">
      <pivotArea dataOnly="0" labelOnly="1" grandRow="1" outline="0" fieldPosition="0"/>
    </format>
    <format dxfId="20851">
      <pivotArea dataOnly="0" labelOnly="1" outline="0" axis="axisValues" fieldPosition="0"/>
    </format>
    <format dxfId="20850">
      <pivotArea type="all" dataOnly="0" outline="0" fieldPosition="0"/>
    </format>
    <format dxfId="20849">
      <pivotArea outline="0" collapsedLevelsAreSubtotals="1" fieldPosition="0"/>
    </format>
    <format dxfId="20848">
      <pivotArea field="16" type="button" dataOnly="0" labelOnly="1" outline="0" axis="axisRow" fieldPosition="0"/>
    </format>
    <format dxfId="20847">
      <pivotArea dataOnly="0" labelOnly="1" fieldPosition="0">
        <references count="1">
          <reference field="16" count="0"/>
        </references>
      </pivotArea>
    </format>
    <format dxfId="20846">
      <pivotArea dataOnly="0" labelOnly="1" grandRow="1" outline="0" fieldPosition="0"/>
    </format>
    <format dxfId="20845">
      <pivotArea dataOnly="0" labelOnly="1" outline="0" axis="axisValues" fieldPosition="0"/>
    </format>
    <format dxfId="20844">
      <pivotArea type="all" dataOnly="0" outline="0" fieldPosition="0"/>
    </format>
    <format dxfId="20843">
      <pivotArea outline="0" collapsedLevelsAreSubtotals="1" fieldPosition="0"/>
    </format>
    <format dxfId="20842">
      <pivotArea field="16" type="button" dataOnly="0" labelOnly="1" outline="0" axis="axisRow" fieldPosition="0"/>
    </format>
    <format dxfId="20841">
      <pivotArea dataOnly="0" labelOnly="1" fieldPosition="0">
        <references count="1">
          <reference field="16" count="0"/>
        </references>
      </pivotArea>
    </format>
    <format dxfId="20840">
      <pivotArea dataOnly="0" labelOnly="1" grandRow="1" outline="0" fieldPosition="0"/>
    </format>
    <format dxfId="20839">
      <pivotArea dataOnly="0" labelOnly="1" outline="0" axis="axisValues" fieldPosition="0"/>
    </format>
    <format dxfId="20838">
      <pivotArea type="all" dataOnly="0" outline="0" fieldPosition="0"/>
    </format>
    <format dxfId="20837">
      <pivotArea outline="0" collapsedLevelsAreSubtotals="1" fieldPosition="0"/>
    </format>
    <format dxfId="20836">
      <pivotArea field="16" type="button" dataOnly="0" labelOnly="1" outline="0" axis="axisRow" fieldPosition="0"/>
    </format>
    <format dxfId="20835">
      <pivotArea dataOnly="0" labelOnly="1" fieldPosition="0">
        <references count="1">
          <reference field="16" count="0"/>
        </references>
      </pivotArea>
    </format>
    <format dxfId="20834">
      <pivotArea dataOnly="0" labelOnly="1" grandRow="1" outline="0" fieldPosition="0"/>
    </format>
    <format dxfId="20833">
      <pivotArea dataOnly="0" labelOnly="1" outline="0" axis="axisValues" fieldPosition="0"/>
    </format>
    <format dxfId="2083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8" type="dateBetween" evalOrder="-1" id="2641"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37"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5B56D4-E0B9-4D11-A5B1-65082BD014F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B33:C37" firstHeaderRow="1" firstDataRow="1" firstDataCol="1"/>
  <pivotFields count="36">
    <pivotField dataField="1" showAll="0"/>
    <pivotField showAll="0"/>
    <pivotField showAll="0"/>
    <pivotField showAll="0"/>
    <pivotField numFmtId="14" showAll="0"/>
    <pivotField showAll="0"/>
    <pivotField showAll="0"/>
    <pivotField numFmtId="14" showAll="0"/>
    <pivotField showAll="0"/>
    <pivotField showAll="0"/>
    <pivotField showAll="0"/>
    <pivotField showAll="0"/>
    <pivotField showAll="0">
      <items count="11">
        <item x="2"/>
        <item x="1"/>
        <item x="8"/>
        <item x="6"/>
        <item x="3"/>
        <item x="7"/>
        <item x="5"/>
        <item x="4"/>
        <item x="0"/>
        <item x="9"/>
        <item t="default"/>
      </items>
    </pivotField>
    <pivotField showAll="0">
      <items count="4">
        <item x="2"/>
        <item h="1" x="1"/>
        <item h="1" x="0"/>
        <item t="default"/>
      </items>
    </pivotField>
    <pivotField showAll="0"/>
    <pivotField showAll="0"/>
    <pivotField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axis="axisRow" showAll="0">
      <items count="5">
        <item x="2"/>
        <item x="3"/>
        <item x="1"/>
        <item x="0"/>
        <item t="default"/>
      </items>
    </pivotField>
    <pivotField showAll="0"/>
    <pivotField showAll="0">
      <items count="6">
        <item x="0"/>
        <item h="1" x="2"/>
        <item h="1" x="1"/>
        <item h="1" x="3"/>
        <item h="1" x="4"/>
        <item t="default"/>
      </items>
    </pivotField>
    <pivotField showAll="0"/>
    <pivotField numFmtId="164" showAll="0"/>
    <pivotField numFmtId="14"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1"/>
  </rowFields>
  <rowItems count="4">
    <i>
      <x/>
    </i>
    <i>
      <x v="1"/>
    </i>
    <i>
      <x v="3"/>
    </i>
    <i t="grand">
      <x/>
    </i>
  </rowItems>
  <colItems count="1">
    <i/>
  </colItems>
  <dataFields count="1">
    <dataField name="Count of Appointment_id" fld="0" subtotal="count" showDataAs="percentOfTotal" baseField="0" baseItem="0" numFmtId="9"/>
  </dataFields>
  <formats count="34">
    <format dxfId="20890">
      <pivotArea type="all" dataOnly="0" outline="0" fieldPosition="0"/>
    </format>
    <format dxfId="20889">
      <pivotArea outline="0" collapsedLevelsAreSubtotals="1" fieldPosition="0"/>
    </format>
    <format dxfId="20888">
      <pivotArea field="21" type="button" dataOnly="0" labelOnly="1" outline="0" axis="axisRow" fieldPosition="0"/>
    </format>
    <format dxfId="20887">
      <pivotArea dataOnly="0" labelOnly="1" fieldPosition="0">
        <references count="1">
          <reference field="21" count="0"/>
        </references>
      </pivotArea>
    </format>
    <format dxfId="20886">
      <pivotArea dataOnly="0" labelOnly="1" grandRow="1" outline="0" fieldPosition="0"/>
    </format>
    <format dxfId="20885">
      <pivotArea dataOnly="0" labelOnly="1" outline="0" axis="axisValues" fieldPosition="0"/>
    </format>
    <format dxfId="20884">
      <pivotArea type="all" dataOnly="0" outline="0" fieldPosition="0"/>
    </format>
    <format dxfId="20883">
      <pivotArea outline="0" collapsedLevelsAreSubtotals="1" fieldPosition="0"/>
    </format>
    <format dxfId="20882">
      <pivotArea field="21" type="button" dataOnly="0" labelOnly="1" outline="0" axis="axisRow" fieldPosition="0"/>
    </format>
    <format dxfId="20881">
      <pivotArea dataOnly="0" labelOnly="1" fieldPosition="0">
        <references count="1">
          <reference field="21" count="0"/>
        </references>
      </pivotArea>
    </format>
    <format dxfId="20880">
      <pivotArea dataOnly="0" labelOnly="1" grandRow="1" outline="0" fieldPosition="0"/>
    </format>
    <format dxfId="20879">
      <pivotArea dataOnly="0" labelOnly="1" outline="0" axis="axisValues" fieldPosition="0"/>
    </format>
    <format dxfId="20878">
      <pivotArea type="all" dataOnly="0" outline="0" fieldPosition="0"/>
    </format>
    <format dxfId="20877">
      <pivotArea outline="0" collapsedLevelsAreSubtotals="1" fieldPosition="0"/>
    </format>
    <format dxfId="20876">
      <pivotArea field="21" type="button" dataOnly="0" labelOnly="1" outline="0" axis="axisRow" fieldPosition="0"/>
    </format>
    <format dxfId="20875">
      <pivotArea dataOnly="0" labelOnly="1" fieldPosition="0">
        <references count="1">
          <reference field="21" count="0"/>
        </references>
      </pivotArea>
    </format>
    <format dxfId="20874">
      <pivotArea dataOnly="0" labelOnly="1" grandRow="1" outline="0" fieldPosition="0"/>
    </format>
    <format dxfId="20873">
      <pivotArea dataOnly="0" labelOnly="1" outline="0" axis="axisValues" fieldPosition="0"/>
    </format>
    <format dxfId="20872">
      <pivotArea type="all" dataOnly="0" outline="0" fieldPosition="0"/>
    </format>
    <format dxfId="20871">
      <pivotArea outline="0" collapsedLevelsAreSubtotals="1" fieldPosition="0"/>
    </format>
    <format dxfId="20870">
      <pivotArea field="21" type="button" dataOnly="0" labelOnly="1" outline="0" axis="axisRow" fieldPosition="0"/>
    </format>
    <format dxfId="20869">
      <pivotArea dataOnly="0" labelOnly="1" fieldPosition="0">
        <references count="1">
          <reference field="21" count="0"/>
        </references>
      </pivotArea>
    </format>
    <format dxfId="20868">
      <pivotArea dataOnly="0" labelOnly="1" grandRow="1" outline="0" fieldPosition="0"/>
    </format>
    <format dxfId="20867">
      <pivotArea dataOnly="0" labelOnly="1" outline="0" axis="axisValues" fieldPosition="0"/>
    </format>
    <format dxfId="20866">
      <pivotArea type="all" dataOnly="0" outline="0" fieldPosition="0"/>
    </format>
    <format dxfId="20865">
      <pivotArea outline="0" collapsedLevelsAreSubtotals="1" fieldPosition="0"/>
    </format>
    <format dxfId="20864">
      <pivotArea field="21" type="button" dataOnly="0" labelOnly="1" outline="0" axis="axisRow" fieldPosition="0"/>
    </format>
    <format dxfId="20863">
      <pivotArea dataOnly="0" labelOnly="1" fieldPosition="0">
        <references count="1">
          <reference field="21" count="0"/>
        </references>
      </pivotArea>
    </format>
    <format dxfId="20862">
      <pivotArea dataOnly="0" labelOnly="1" grandRow="1" outline="0" fieldPosition="0"/>
    </format>
    <format dxfId="20861">
      <pivotArea dataOnly="0" labelOnly="1" outline="0" axis="axisValues" fieldPosition="0"/>
    </format>
    <format dxfId="20860">
      <pivotArea outline="0" collapsedLevelsAreSubtotals="1" fieldPosition="0"/>
    </format>
    <format dxfId="20859">
      <pivotArea outline="0" collapsedLevelsAreSubtotals="1" fieldPosition="0"/>
    </format>
    <format dxfId="20858">
      <pivotArea outline="0" fieldPosition="0">
        <references count="1">
          <reference field="4294967294" count="1">
            <x v="0"/>
          </reference>
        </references>
      </pivotArea>
    </format>
    <format dxfId="20857">
      <pivotArea outline="0" collapsedLevelsAreSubtotals="1" fieldPosition="0"/>
    </format>
  </formats>
  <chartFormats count="10">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1" count="1" selected="0">
            <x v="0"/>
          </reference>
        </references>
      </pivotArea>
    </chartFormat>
    <chartFormat chart="10" format="8">
      <pivotArea type="data" outline="0" fieldPosition="0">
        <references count="2">
          <reference field="4294967294" count="1" selected="0">
            <x v="0"/>
          </reference>
          <reference field="21" count="1" selected="0">
            <x v="1"/>
          </reference>
        </references>
      </pivotArea>
    </chartFormat>
    <chartFormat chart="10" format="9">
      <pivotArea type="data" outline="0" fieldPosition="0">
        <references count="2">
          <reference field="4294967294" count="1" selected="0">
            <x v="0"/>
          </reference>
          <reference field="21" count="1" selected="0">
            <x v="2"/>
          </reference>
        </references>
      </pivotArea>
    </chartFormat>
    <chartFormat chart="10" format="10">
      <pivotArea type="data" outline="0" fieldPosition="0">
        <references count="2">
          <reference field="4294967294" count="1" selected="0">
            <x v="0"/>
          </reference>
          <reference field="21" count="1" selected="0">
            <x v="3"/>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21" count="1" selected="0">
            <x v="0"/>
          </reference>
        </references>
      </pivotArea>
    </chartFormat>
    <chartFormat chart="21" format="18">
      <pivotArea type="data" outline="0" fieldPosition="0">
        <references count="2">
          <reference field="4294967294" count="1" selected="0">
            <x v="0"/>
          </reference>
          <reference field="21" count="1" selected="0">
            <x v="1"/>
          </reference>
        </references>
      </pivotArea>
    </chartFormat>
    <chartFormat chart="21" format="19">
      <pivotArea type="data" outline="0" fieldPosition="0">
        <references count="2">
          <reference field="4294967294" count="1" selected="0">
            <x v="0"/>
          </reference>
          <reference field="21" count="1" selected="0">
            <x v="2"/>
          </reference>
        </references>
      </pivotArea>
    </chartFormat>
    <chartFormat chart="21" format="2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filters count="2">
    <filter fld="28" type="dateBetween" evalOrder="-1" id="2641"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37"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E1F2A-FD6D-45A0-A875-336B23347B5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E24:F30" firstHeaderRow="1" firstDataRow="1" firstDataCol="1"/>
  <pivotFields count="36">
    <pivotField showAll="0"/>
    <pivotField showAll="0"/>
    <pivotField showAll="0"/>
    <pivotField showAll="0">
      <items count="3">
        <item x="0"/>
        <item x="1"/>
        <item t="default"/>
      </items>
    </pivotField>
    <pivotField numFmtId="14" showAll="0"/>
    <pivotField showAll="0"/>
    <pivotField showAll="0"/>
    <pivotField numFmtId="14" showAll="0"/>
    <pivotField showAll="0"/>
    <pivotField showAll="0"/>
    <pivotField showAll="0"/>
    <pivotField showAll="0"/>
    <pivotField showAll="0">
      <items count="11">
        <item x="2"/>
        <item x="1"/>
        <item x="8"/>
        <item x="6"/>
        <item x="3"/>
        <item x="7"/>
        <item x="5"/>
        <item x="4"/>
        <item x="0"/>
        <item x="9"/>
        <item t="default"/>
      </items>
    </pivotField>
    <pivotField showAll="0">
      <items count="4">
        <item x="2"/>
        <item h="1" x="1"/>
        <item h="1" x="0"/>
        <item t="default"/>
      </items>
    </pivotField>
    <pivotField showAll="0"/>
    <pivotField showAll="0"/>
    <pivotField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showAll="0">
      <items count="5">
        <item x="2"/>
        <item x="3"/>
        <item x="1"/>
        <item x="0"/>
        <item t="default"/>
      </items>
    </pivotField>
    <pivotField showAll="0"/>
    <pivotField showAll="0">
      <items count="6">
        <item x="0"/>
        <item h="1" x="2"/>
        <item h="1" x="1"/>
        <item h="1" x="3"/>
        <item h="1" x="4"/>
        <item t="default"/>
      </items>
    </pivotField>
    <pivotField showAll="0"/>
    <pivotField numFmtId="164" showAll="0"/>
    <pivotField numFmtId="14" showAll="0"/>
    <pivotField showAll="0"/>
    <pivotField axis="axisRow"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dataField="1" numFmtId="164" showAll="0"/>
    <pivotField showAll="0">
      <items count="4">
        <item x="2"/>
        <item x="1"/>
        <item x="0"/>
        <item t="default"/>
      </items>
    </pivotField>
    <pivotField showAll="0">
      <items count="4">
        <item x="2"/>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3">
    <field x="33"/>
    <field x="32"/>
    <field x="28"/>
  </rowFields>
  <rowItems count="6">
    <i>
      <x v="1"/>
    </i>
    <i>
      <x v="2"/>
    </i>
    <i>
      <x v="5"/>
    </i>
    <i>
      <x v="6"/>
    </i>
    <i>
      <x v="9"/>
    </i>
    <i t="grand">
      <x/>
    </i>
  </rowItems>
  <colItems count="1">
    <i/>
  </colItems>
  <dataFields count="1">
    <dataField name="Sum of Amount" fld="29" baseField="0" baseItem="0" numFmtId="164"/>
  </dataFields>
  <formats count="21">
    <format dxfId="20911">
      <pivotArea type="all" dataOnly="0" outline="0" fieldPosition="0"/>
    </format>
    <format dxfId="20910">
      <pivotArea outline="0" collapsedLevelsAreSubtotals="1" fieldPosition="0"/>
    </format>
    <format dxfId="20909">
      <pivotArea field="33" type="button" dataOnly="0" labelOnly="1" outline="0" axis="axisRow" fieldPosition="0"/>
    </format>
    <format dxfId="20908">
      <pivotArea dataOnly="0" labelOnly="1" grandRow="1" outline="0" fieldPosition="0"/>
    </format>
    <format dxfId="20907">
      <pivotArea dataOnly="0" labelOnly="1" outline="0" axis="axisValues" fieldPosition="0"/>
    </format>
    <format dxfId="20906">
      <pivotArea type="all" dataOnly="0" outline="0" fieldPosition="0"/>
    </format>
    <format dxfId="20905">
      <pivotArea outline="0" collapsedLevelsAreSubtotals="1" fieldPosition="0"/>
    </format>
    <format dxfId="20904">
      <pivotArea field="33" type="button" dataOnly="0" labelOnly="1" outline="0" axis="axisRow" fieldPosition="0"/>
    </format>
    <format dxfId="20903">
      <pivotArea dataOnly="0" labelOnly="1" grandRow="1" outline="0" fieldPosition="0"/>
    </format>
    <format dxfId="20902">
      <pivotArea dataOnly="0" labelOnly="1" outline="0" axis="axisValues" fieldPosition="0"/>
    </format>
    <format dxfId="20901">
      <pivotArea type="all" dataOnly="0" outline="0" fieldPosition="0"/>
    </format>
    <format dxfId="20900">
      <pivotArea outline="0" collapsedLevelsAreSubtotals="1" fieldPosition="0"/>
    </format>
    <format dxfId="20899">
      <pivotArea field="33" type="button" dataOnly="0" labelOnly="1" outline="0" axis="axisRow" fieldPosition="0"/>
    </format>
    <format dxfId="20898">
      <pivotArea dataOnly="0" labelOnly="1" grandRow="1" outline="0" fieldPosition="0"/>
    </format>
    <format dxfId="20897">
      <pivotArea dataOnly="0" labelOnly="1" outline="0" axis="axisValues" fieldPosition="0"/>
    </format>
    <format dxfId="20896">
      <pivotArea type="all" dataOnly="0" outline="0" fieldPosition="0"/>
    </format>
    <format dxfId="20895">
      <pivotArea outline="0" collapsedLevelsAreSubtotals="1" fieldPosition="0"/>
    </format>
    <format dxfId="20894">
      <pivotArea field="33" type="button" dataOnly="0" labelOnly="1" outline="0" axis="axisRow" fieldPosition="0"/>
    </format>
    <format dxfId="20893">
      <pivotArea dataOnly="0" labelOnly="1" grandRow="1" outline="0" fieldPosition="0"/>
    </format>
    <format dxfId="20892">
      <pivotArea dataOnly="0" labelOnly="1" outline="0" axis="axisValues" fieldPosition="0"/>
    </format>
    <format dxfId="2089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8" type="dateBetween" evalOrder="-1" id="2649"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41"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869E81-E189-4891-8B0F-CCB9B090A21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B14:C18" firstHeaderRow="1" firstDataRow="1" firstDataCol="1"/>
  <pivotFields count="36">
    <pivotField dataField="1" showAll="0"/>
    <pivotField showAll="0"/>
    <pivotField showAll="0"/>
    <pivotField showAll="0"/>
    <pivotField numFmtId="14" showAll="0"/>
    <pivotField showAll="0"/>
    <pivotField showAll="0"/>
    <pivotField numFmtId="14" showAll="0"/>
    <pivotField showAll="0"/>
    <pivotField showAll="0"/>
    <pivotField showAll="0"/>
    <pivotField showAll="0"/>
    <pivotField showAll="0">
      <items count="11">
        <item x="2"/>
        <item x="1"/>
        <item x="8"/>
        <item x="6"/>
        <item x="3"/>
        <item x="7"/>
        <item x="5"/>
        <item x="4"/>
        <item x="0"/>
        <item x="9"/>
        <item t="default"/>
      </items>
    </pivotField>
    <pivotField showAll="0">
      <items count="4">
        <item x="2"/>
        <item h="1" x="1"/>
        <item h="1" x="0"/>
        <item t="default"/>
      </items>
    </pivotField>
    <pivotField showAll="0"/>
    <pivotField showAll="0"/>
    <pivotField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axis="axisRow" showAll="0">
      <items count="5">
        <item x="2"/>
        <item x="3"/>
        <item x="1"/>
        <item x="0"/>
        <item t="default"/>
      </items>
    </pivotField>
    <pivotField showAll="0"/>
    <pivotField showAll="0">
      <items count="6">
        <item x="0"/>
        <item h="1" x="2"/>
        <item h="1" x="1"/>
        <item h="1" x="3"/>
        <item h="1" x="4"/>
        <item t="default"/>
      </items>
    </pivotField>
    <pivotField showAll="0"/>
    <pivotField numFmtId="164" showAll="0"/>
    <pivotField numFmtId="14"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1"/>
  </rowFields>
  <rowItems count="4">
    <i>
      <x/>
    </i>
    <i>
      <x v="1"/>
    </i>
    <i>
      <x v="3"/>
    </i>
    <i t="grand">
      <x/>
    </i>
  </rowItems>
  <colItems count="1">
    <i/>
  </colItems>
  <dataFields count="1">
    <dataField name="Count of Appointment_id" fld="0" subtotal="count" baseField="0" baseItem="0"/>
  </dataFields>
  <formats count="32">
    <format dxfId="20943">
      <pivotArea type="all" dataOnly="0" outline="0" fieldPosition="0"/>
    </format>
    <format dxfId="20942">
      <pivotArea outline="0" collapsedLevelsAreSubtotals="1" fieldPosition="0"/>
    </format>
    <format dxfId="20941">
      <pivotArea field="21" type="button" dataOnly="0" labelOnly="1" outline="0" axis="axisRow" fieldPosition="0"/>
    </format>
    <format dxfId="20940">
      <pivotArea dataOnly="0" labelOnly="1" fieldPosition="0">
        <references count="1">
          <reference field="21" count="0"/>
        </references>
      </pivotArea>
    </format>
    <format dxfId="20939">
      <pivotArea dataOnly="0" labelOnly="1" grandRow="1" outline="0" fieldPosition="0"/>
    </format>
    <format dxfId="20938">
      <pivotArea dataOnly="0" labelOnly="1" outline="0" axis="axisValues" fieldPosition="0"/>
    </format>
    <format dxfId="20937">
      <pivotArea type="all" dataOnly="0" outline="0" fieldPosition="0"/>
    </format>
    <format dxfId="20936">
      <pivotArea outline="0" collapsedLevelsAreSubtotals="1" fieldPosition="0"/>
    </format>
    <format dxfId="20935">
      <pivotArea field="21" type="button" dataOnly="0" labelOnly="1" outline="0" axis="axisRow" fieldPosition="0"/>
    </format>
    <format dxfId="20934">
      <pivotArea dataOnly="0" labelOnly="1" fieldPosition="0">
        <references count="1">
          <reference field="21" count="0"/>
        </references>
      </pivotArea>
    </format>
    <format dxfId="20933">
      <pivotArea dataOnly="0" labelOnly="1" grandRow="1" outline="0" fieldPosition="0"/>
    </format>
    <format dxfId="20932">
      <pivotArea dataOnly="0" labelOnly="1" outline="0" axis="axisValues" fieldPosition="0"/>
    </format>
    <format dxfId="20931">
      <pivotArea type="all" dataOnly="0" outline="0" fieldPosition="0"/>
    </format>
    <format dxfId="20930">
      <pivotArea outline="0" collapsedLevelsAreSubtotals="1" fieldPosition="0"/>
    </format>
    <format dxfId="20929">
      <pivotArea field="21" type="button" dataOnly="0" labelOnly="1" outline="0" axis="axisRow" fieldPosition="0"/>
    </format>
    <format dxfId="20928">
      <pivotArea dataOnly="0" labelOnly="1" fieldPosition="0">
        <references count="1">
          <reference field="21" count="0"/>
        </references>
      </pivotArea>
    </format>
    <format dxfId="20927">
      <pivotArea dataOnly="0" labelOnly="1" grandRow="1" outline="0" fieldPosition="0"/>
    </format>
    <format dxfId="20926">
      <pivotArea dataOnly="0" labelOnly="1" outline="0" axis="axisValues" fieldPosition="0"/>
    </format>
    <format dxfId="20925">
      <pivotArea type="all" dataOnly="0" outline="0" fieldPosition="0"/>
    </format>
    <format dxfId="20924">
      <pivotArea outline="0" collapsedLevelsAreSubtotals="1" fieldPosition="0"/>
    </format>
    <format dxfId="20923">
      <pivotArea field="21" type="button" dataOnly="0" labelOnly="1" outline="0" axis="axisRow" fieldPosition="0"/>
    </format>
    <format dxfId="20922">
      <pivotArea dataOnly="0" labelOnly="1" fieldPosition="0">
        <references count="1">
          <reference field="21" count="0"/>
        </references>
      </pivotArea>
    </format>
    <format dxfId="20921">
      <pivotArea dataOnly="0" labelOnly="1" grandRow="1" outline="0" fieldPosition="0"/>
    </format>
    <format dxfId="20920">
      <pivotArea dataOnly="0" labelOnly="1" outline="0" axis="axisValues" fieldPosition="0"/>
    </format>
    <format dxfId="20919">
      <pivotArea type="all" dataOnly="0" outline="0" fieldPosition="0"/>
    </format>
    <format dxfId="20918">
      <pivotArea outline="0" collapsedLevelsAreSubtotals="1" fieldPosition="0"/>
    </format>
    <format dxfId="20917">
      <pivotArea field="21" type="button" dataOnly="0" labelOnly="1" outline="0" axis="axisRow" fieldPosition="0"/>
    </format>
    <format dxfId="20916">
      <pivotArea dataOnly="0" labelOnly="1" fieldPosition="0">
        <references count="1">
          <reference field="21" count="0"/>
        </references>
      </pivotArea>
    </format>
    <format dxfId="20915">
      <pivotArea dataOnly="0" labelOnly="1" grandRow="1" outline="0" fieldPosition="0"/>
    </format>
    <format dxfId="20914">
      <pivotArea dataOnly="0" labelOnly="1" outline="0" axis="axisValues" fieldPosition="0"/>
    </format>
    <format dxfId="20913">
      <pivotArea outline="0" collapsedLevelsAreSubtotals="1" fieldPosition="0"/>
    </format>
    <format dxfId="20912">
      <pivotArea outline="0" collapsedLevelsAreSubtotals="1" fieldPosition="0"/>
    </format>
  </formats>
  <chartFormats count="10">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1" count="1" selected="0">
            <x v="0"/>
          </reference>
        </references>
      </pivotArea>
    </chartFormat>
    <chartFormat chart="10" format="8">
      <pivotArea type="data" outline="0" fieldPosition="0">
        <references count="2">
          <reference field="4294967294" count="1" selected="0">
            <x v="0"/>
          </reference>
          <reference field="21" count="1" selected="0">
            <x v="1"/>
          </reference>
        </references>
      </pivotArea>
    </chartFormat>
    <chartFormat chart="10" format="9">
      <pivotArea type="data" outline="0" fieldPosition="0">
        <references count="2">
          <reference field="4294967294" count="1" selected="0">
            <x v="0"/>
          </reference>
          <reference field="21" count="1" selected="0">
            <x v="2"/>
          </reference>
        </references>
      </pivotArea>
    </chartFormat>
    <chartFormat chart="10" format="10">
      <pivotArea type="data" outline="0" fieldPosition="0">
        <references count="2">
          <reference field="4294967294" count="1" selected="0">
            <x v="0"/>
          </reference>
          <reference field="21" count="1" selected="0">
            <x v="3"/>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21" count="1" selected="0">
            <x v="0"/>
          </reference>
        </references>
      </pivotArea>
    </chartFormat>
    <chartFormat chart="21" format="18">
      <pivotArea type="data" outline="0" fieldPosition="0">
        <references count="2">
          <reference field="4294967294" count="1" selected="0">
            <x v="0"/>
          </reference>
          <reference field="21" count="1" selected="0">
            <x v="1"/>
          </reference>
        </references>
      </pivotArea>
    </chartFormat>
    <chartFormat chart="21" format="19">
      <pivotArea type="data" outline="0" fieldPosition="0">
        <references count="2">
          <reference field="4294967294" count="1" selected="0">
            <x v="0"/>
          </reference>
          <reference field="21" count="1" selected="0">
            <x v="2"/>
          </reference>
        </references>
      </pivotArea>
    </chartFormat>
    <chartFormat chart="21" format="2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filters count="2">
    <filter fld="28" type="dateBetween" evalOrder="-1" id="2641"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37"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6DCBB9-E433-42D3-8BDB-F58D89687C8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E8:F10" firstHeaderRow="1" firstDataRow="1" firstDataCol="1"/>
  <pivotFields count="36">
    <pivotField dataField="1" showAll="0"/>
    <pivotField showAll="0"/>
    <pivotField showAll="0"/>
    <pivotField showAll="0"/>
    <pivotField numFmtId="14" showAll="0"/>
    <pivotField showAll="0"/>
    <pivotField showAll="0"/>
    <pivotField numFmtId="14" showAll="0"/>
    <pivotField showAll="0"/>
    <pivotField showAll="0"/>
    <pivotField showAll="0"/>
    <pivotField showAll="0"/>
    <pivotField showAll="0">
      <items count="11">
        <item x="2"/>
        <item x="1"/>
        <item x="8"/>
        <item x="6"/>
        <item x="3"/>
        <item x="7"/>
        <item x="5"/>
        <item x="4"/>
        <item x="0"/>
        <item x="9"/>
        <item t="default"/>
      </items>
    </pivotField>
    <pivotField axis="axisRow" showAll="0">
      <items count="4">
        <item x="2"/>
        <item h="1" x="1"/>
        <item h="1" x="0"/>
        <item t="default"/>
      </items>
    </pivotField>
    <pivotField showAll="0"/>
    <pivotField showAll="0"/>
    <pivotField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showAll="0">
      <items count="5">
        <item x="2"/>
        <item x="3"/>
        <item x="1"/>
        <item x="0"/>
        <item t="default"/>
      </items>
    </pivotField>
    <pivotField showAll="0"/>
    <pivotField showAll="0">
      <items count="6">
        <item x="0"/>
        <item h="1" x="2"/>
        <item h="1" x="1"/>
        <item h="1" x="3"/>
        <item h="1" x="4"/>
        <item t="default"/>
      </items>
    </pivotField>
    <pivotField showAll="0"/>
    <pivotField numFmtId="164" showAll="0"/>
    <pivotField numFmtId="14"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2">
    <i>
      <x/>
    </i>
    <i t="grand">
      <x/>
    </i>
  </rowItems>
  <colItems count="1">
    <i/>
  </colItems>
  <dataFields count="1">
    <dataField name="Count of Appointment_id" fld="0" subtotal="count" baseField="0" baseItem="0"/>
  </dataFields>
  <formats count="25">
    <format dxfId="20968">
      <pivotArea type="all" dataOnly="0" outline="0" fieldPosition="0"/>
    </format>
    <format dxfId="20967">
      <pivotArea outline="0" collapsedLevelsAreSubtotals="1" fieldPosition="0"/>
    </format>
    <format dxfId="20966">
      <pivotArea field="13" type="button" dataOnly="0" labelOnly="1" outline="0" axis="axisRow" fieldPosition="0"/>
    </format>
    <format dxfId="20965">
      <pivotArea dataOnly="0" labelOnly="1" fieldPosition="0">
        <references count="1">
          <reference field="13" count="0"/>
        </references>
      </pivotArea>
    </format>
    <format dxfId="20964">
      <pivotArea dataOnly="0" labelOnly="1" grandRow="1" outline="0" fieldPosition="0"/>
    </format>
    <format dxfId="20963">
      <pivotArea dataOnly="0" labelOnly="1" outline="0" axis="axisValues" fieldPosition="0"/>
    </format>
    <format dxfId="20962">
      <pivotArea type="all" dataOnly="0" outline="0" fieldPosition="0"/>
    </format>
    <format dxfId="20961">
      <pivotArea outline="0" collapsedLevelsAreSubtotals="1" fieldPosition="0"/>
    </format>
    <format dxfId="20960">
      <pivotArea field="13" type="button" dataOnly="0" labelOnly="1" outline="0" axis="axisRow" fieldPosition="0"/>
    </format>
    <format dxfId="20959">
      <pivotArea dataOnly="0" labelOnly="1" fieldPosition="0">
        <references count="1">
          <reference field="13" count="0"/>
        </references>
      </pivotArea>
    </format>
    <format dxfId="20958">
      <pivotArea dataOnly="0" labelOnly="1" grandRow="1" outline="0" fieldPosition="0"/>
    </format>
    <format dxfId="20957">
      <pivotArea dataOnly="0" labelOnly="1" outline="0" axis="axisValues" fieldPosition="0"/>
    </format>
    <format dxfId="20956">
      <pivotArea type="all" dataOnly="0" outline="0" fieldPosition="0"/>
    </format>
    <format dxfId="20955">
      <pivotArea outline="0" collapsedLevelsAreSubtotals="1" fieldPosition="0"/>
    </format>
    <format dxfId="20954">
      <pivotArea field="13" type="button" dataOnly="0" labelOnly="1" outline="0" axis="axisRow" fieldPosition="0"/>
    </format>
    <format dxfId="20953">
      <pivotArea dataOnly="0" labelOnly="1" fieldPosition="0">
        <references count="1">
          <reference field="13" count="0"/>
        </references>
      </pivotArea>
    </format>
    <format dxfId="20952">
      <pivotArea dataOnly="0" labelOnly="1" grandRow="1" outline="0" fieldPosition="0"/>
    </format>
    <format dxfId="20951">
      <pivotArea dataOnly="0" labelOnly="1" outline="0" axis="axisValues" fieldPosition="0"/>
    </format>
    <format dxfId="20950">
      <pivotArea type="all" dataOnly="0" outline="0" fieldPosition="0"/>
    </format>
    <format dxfId="20949">
      <pivotArea outline="0" collapsedLevelsAreSubtotals="1" fieldPosition="0"/>
    </format>
    <format dxfId="20948">
      <pivotArea field="13" type="button" dataOnly="0" labelOnly="1" outline="0" axis="axisRow" fieldPosition="0"/>
    </format>
    <format dxfId="20947">
      <pivotArea dataOnly="0" labelOnly="1" fieldPosition="0">
        <references count="1">
          <reference field="13" count="0"/>
        </references>
      </pivotArea>
    </format>
    <format dxfId="20946">
      <pivotArea dataOnly="0" labelOnly="1" grandRow="1" outline="0" fieldPosition="0"/>
    </format>
    <format dxfId="20945">
      <pivotArea dataOnly="0" labelOnly="1" outline="0" axis="axisValues" fieldPosition="0"/>
    </format>
    <format dxfId="20944">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8" type="dateBetween" evalOrder="-1" id="2641"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37"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4C0EDC-3F1F-49D7-B945-04E0107558E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H8:I10" firstHeaderRow="1" firstDataRow="1" firstDataCol="1"/>
  <pivotFields count="36">
    <pivotField dataField="1" showAll="0"/>
    <pivotField showAll="0"/>
    <pivotField showAll="0"/>
    <pivotField showAll="0"/>
    <pivotField numFmtId="14" showAll="0"/>
    <pivotField showAll="0"/>
    <pivotField showAll="0"/>
    <pivotField numFmtId="14" showAll="0"/>
    <pivotField showAll="0"/>
    <pivotField showAll="0"/>
    <pivotField showAll="0"/>
    <pivotField showAll="0"/>
    <pivotField axis="axisRow" showAll="0">
      <items count="11">
        <item x="2"/>
        <item x="1"/>
        <item x="8"/>
        <item x="6"/>
        <item x="3"/>
        <item x="7"/>
        <item x="5"/>
        <item x="4"/>
        <item x="0"/>
        <item x="9"/>
        <item t="default"/>
      </items>
    </pivotField>
    <pivotField showAll="0">
      <items count="4">
        <item x="2"/>
        <item h="1" x="1"/>
        <item h="1" x="0"/>
        <item t="default"/>
      </items>
    </pivotField>
    <pivotField showAll="0"/>
    <pivotField showAll="0"/>
    <pivotField showAll="0">
      <items count="4">
        <item x="0"/>
        <item h="1" x="1"/>
        <item h="1" x="2"/>
        <item t="default"/>
      </items>
    </pivotField>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165" showAll="0">
      <items count="41">
        <item x="2"/>
        <item x="38"/>
        <item x="32"/>
        <item x="7"/>
        <item x="31"/>
        <item x="3"/>
        <item x="29"/>
        <item x="16"/>
        <item x="11"/>
        <item x="36"/>
        <item x="6"/>
        <item x="20"/>
        <item x="14"/>
        <item x="25"/>
        <item x="22"/>
        <item x="28"/>
        <item x="12"/>
        <item x="34"/>
        <item x="23"/>
        <item x="4"/>
        <item x="17"/>
        <item x="19"/>
        <item x="33"/>
        <item x="8"/>
        <item x="24"/>
        <item x="18"/>
        <item x="1"/>
        <item x="37"/>
        <item x="27"/>
        <item x="0"/>
        <item x="9"/>
        <item x="26"/>
        <item x="10"/>
        <item x="5"/>
        <item x="35"/>
        <item x="39"/>
        <item x="15"/>
        <item x="13"/>
        <item x="30"/>
        <item x="21"/>
        <item t="default"/>
      </items>
    </pivotField>
    <pivotField showAll="0">
      <items count="6">
        <item x="3"/>
        <item x="1"/>
        <item x="2"/>
        <item x="4"/>
        <item x="0"/>
        <item t="default"/>
      </items>
    </pivotField>
    <pivotField showAll="0">
      <items count="5">
        <item x="2"/>
        <item x="3"/>
        <item x="1"/>
        <item x="0"/>
        <item t="default"/>
      </items>
    </pivotField>
    <pivotField showAll="0"/>
    <pivotField showAll="0">
      <items count="6">
        <item x="0"/>
        <item h="1" x="2"/>
        <item h="1" x="1"/>
        <item h="1" x="3"/>
        <item h="1" x="4"/>
        <item t="default"/>
      </items>
    </pivotField>
    <pivotField showAll="0"/>
    <pivotField numFmtId="164" showAll="0"/>
    <pivotField numFmtId="14"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2">
    <i>
      <x v="9"/>
    </i>
    <i t="grand">
      <x/>
    </i>
  </rowItems>
  <colItems count="1">
    <i/>
  </colItems>
  <dataFields count="1">
    <dataField name="Count of Appointment_id" fld="0" subtotal="count" baseField="0" baseItem="0"/>
  </dataFields>
  <formats count="25">
    <format dxfId="20993">
      <pivotArea type="all" dataOnly="0" outline="0" fieldPosition="0"/>
    </format>
    <format dxfId="20992">
      <pivotArea outline="0" collapsedLevelsAreSubtotals="1" fieldPosition="0"/>
    </format>
    <format dxfId="20991">
      <pivotArea field="12" type="button" dataOnly="0" labelOnly="1" outline="0" axis="axisRow" fieldPosition="0"/>
    </format>
    <format dxfId="20990">
      <pivotArea dataOnly="0" labelOnly="1" fieldPosition="0">
        <references count="1">
          <reference field="12" count="0"/>
        </references>
      </pivotArea>
    </format>
    <format dxfId="20989">
      <pivotArea dataOnly="0" labelOnly="1" grandRow="1" outline="0" fieldPosition="0"/>
    </format>
    <format dxfId="20988">
      <pivotArea dataOnly="0" labelOnly="1" outline="0" axis="axisValues" fieldPosition="0"/>
    </format>
    <format dxfId="20987">
      <pivotArea type="all" dataOnly="0" outline="0" fieldPosition="0"/>
    </format>
    <format dxfId="20986">
      <pivotArea outline="0" collapsedLevelsAreSubtotals="1" fieldPosition="0"/>
    </format>
    <format dxfId="20985">
      <pivotArea field="12" type="button" dataOnly="0" labelOnly="1" outline="0" axis="axisRow" fieldPosition="0"/>
    </format>
    <format dxfId="20984">
      <pivotArea dataOnly="0" labelOnly="1" fieldPosition="0">
        <references count="1">
          <reference field="12" count="0"/>
        </references>
      </pivotArea>
    </format>
    <format dxfId="20983">
      <pivotArea dataOnly="0" labelOnly="1" grandRow="1" outline="0" fieldPosition="0"/>
    </format>
    <format dxfId="20982">
      <pivotArea dataOnly="0" labelOnly="1" outline="0" axis="axisValues" fieldPosition="0"/>
    </format>
    <format dxfId="20981">
      <pivotArea type="all" dataOnly="0" outline="0" fieldPosition="0"/>
    </format>
    <format dxfId="20980">
      <pivotArea outline="0" collapsedLevelsAreSubtotals="1" fieldPosition="0"/>
    </format>
    <format dxfId="20979">
      <pivotArea field="12" type="button" dataOnly="0" labelOnly="1" outline="0" axis="axisRow" fieldPosition="0"/>
    </format>
    <format dxfId="20978">
      <pivotArea dataOnly="0" labelOnly="1" fieldPosition="0">
        <references count="1">
          <reference field="12" count="0"/>
        </references>
      </pivotArea>
    </format>
    <format dxfId="20977">
      <pivotArea dataOnly="0" labelOnly="1" grandRow="1" outline="0" fieldPosition="0"/>
    </format>
    <format dxfId="20976">
      <pivotArea dataOnly="0" labelOnly="1" outline="0" axis="axisValues" fieldPosition="0"/>
    </format>
    <format dxfId="20975">
      <pivotArea type="all" dataOnly="0" outline="0" fieldPosition="0"/>
    </format>
    <format dxfId="20974">
      <pivotArea outline="0" collapsedLevelsAreSubtotals="1" fieldPosition="0"/>
    </format>
    <format dxfId="20973">
      <pivotArea field="12" type="button" dataOnly="0" labelOnly="1" outline="0" axis="axisRow" fieldPosition="0"/>
    </format>
    <format dxfId="20972">
      <pivotArea dataOnly="0" labelOnly="1" fieldPosition="0">
        <references count="1">
          <reference field="12" count="0"/>
        </references>
      </pivotArea>
    </format>
    <format dxfId="20971">
      <pivotArea dataOnly="0" labelOnly="1" grandRow="1" outline="0" fieldPosition="0"/>
    </format>
    <format dxfId="20970">
      <pivotArea dataOnly="0" labelOnly="1" outline="0" axis="axisValues" fieldPosition="0"/>
    </format>
    <format dxfId="20969">
      <pivotArea outline="0" collapsedLevelsAreSubtotals="1" fieldPosition="0"/>
    </format>
  </formats>
  <chartFormats count="2">
    <chartFormat chart="8"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8" type="dateBetween" evalOrder="-1" id="2641" name="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8" type="dateBetween" evalOrder="-1" id="1237" name="Appointmen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203236-B987-4608-B147-1004047EC4B2}" autoFormatId="16" applyNumberFormats="0" applyBorderFormats="0" applyFontFormats="0" applyPatternFormats="0" applyAlignmentFormats="0" applyWidthHeightFormats="0">
  <queryTableRefresh nextId="8">
    <queryTableFields count="7">
      <queryTableField id="1" name="appointment_id" tableColumnId="1"/>
      <queryTableField id="2" name="patient_id" tableColumnId="2"/>
      <queryTableField id="3" name="doctor_id" tableColumnId="3"/>
      <queryTableField id="4" name="appointment_date" tableColumnId="4"/>
      <queryTableField id="5" name="appointment_time" tableColumnId="5"/>
      <queryTableField id="6" name="reason_for_visit" tableColumnId="6"/>
      <queryTableField id="7" name="statu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F962D3B2-AA14-4F16-ACFC-F74B37CE617B}" autoFormatId="16" applyNumberFormats="0" applyBorderFormats="0" applyFontFormats="0" applyPatternFormats="0" applyAlignmentFormats="0" applyWidthHeightFormats="0">
  <queryTableRefresh nextId="12">
    <queryTableFields count="11">
      <queryTableField id="1" name="patient_id" tableColumnId="1"/>
      <queryTableField id="2" name="first_name" tableColumnId="2"/>
      <queryTableField id="3" name="last_name" tableColumnId="3"/>
      <queryTableField id="4" name="gender" tableColumnId="4"/>
      <queryTableField id="5" name="date_of_birth" tableColumnId="5"/>
      <queryTableField id="6" name="contact_number" tableColumnId="6"/>
      <queryTableField id="7" name="address" tableColumnId="7"/>
      <queryTableField id="8" name="registration_date" tableColumnId="8"/>
      <queryTableField id="9" name="insurance_provider" tableColumnId="9"/>
      <queryTableField id="10" name="insurance_number" tableColumnId="10"/>
      <queryTableField id="11" name="email"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F24B4EE1-3747-40A9-9650-1CC8631E7C39}" autoFormatId="16" applyNumberFormats="0" applyBorderFormats="0" applyFontFormats="0" applyPatternFormats="0" applyAlignmentFormats="0" applyWidthHeightFormats="0">
  <queryTableRefresh nextId="9">
    <queryTableFields count="8">
      <queryTableField id="1" name="doctor_id" tableColumnId="1"/>
      <queryTableField id="2" name="first_name" tableColumnId="2"/>
      <queryTableField id="3" name="last_name" tableColumnId="3"/>
      <queryTableField id="4" name="specialization" tableColumnId="4"/>
      <queryTableField id="5" name="phone_number" tableColumnId="5"/>
      <queryTableField id="6" name="years_experience" tableColumnId="6"/>
      <queryTableField id="7" name="hospital_branch" tableColumnId="7"/>
      <queryTableField id="8" name="email"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01E6BE53-0141-437B-A27C-399421653361}" autoFormatId="16" applyNumberFormats="0" applyBorderFormats="0" applyFontFormats="0" applyPatternFormats="0" applyAlignmentFormats="0" applyWidthHeightFormats="0">
  <queryTableRefresh nextId="8">
    <queryTableFields count="6">
      <queryTableField id="2" name="appointment_id" tableColumnId="2"/>
      <queryTableField id="1" name="treatment_id" tableColumnId="1"/>
      <queryTableField id="3" name="treatment_type" tableColumnId="3"/>
      <queryTableField id="4" name="description" tableColumnId="4"/>
      <queryTableField id="5" name="cost" tableColumnId="5"/>
      <queryTableField id="6" name="treatment_date"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7CA7DA9D-B3C5-4026-8832-8C38C54670B9}" autoFormatId="16" applyNumberFormats="0" applyBorderFormats="0" applyFontFormats="0" applyPatternFormats="0" applyAlignmentFormats="0" applyWidthHeightFormats="0">
  <queryTableRefresh nextId="9">
    <queryTableFields count="7">
      <queryTableField id="2" name="patient_id" tableColumnId="2"/>
      <queryTableField id="1" name="bill_id" tableColumnId="1"/>
      <queryTableField id="3" name="treatment_id" tableColumnId="3"/>
      <queryTableField id="4" name="bill_date" tableColumnId="4"/>
      <queryTableField id="5" name="amount" tableColumnId="5"/>
      <queryTableField id="6" name="payment_method" tableColumnId="6"/>
      <queryTableField id="7" name="payment_status"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7D65DF18-A619-474A-80C0-7333E2F0BA05}" autoFormatId="16" applyNumberFormats="0" applyBorderFormats="0" applyFontFormats="0" applyPatternFormats="0" applyAlignmentFormats="0" applyWidthHeightFormats="0">
  <queryTableRefresh nextId="54" unboundColumnsRight="17">
    <queryTableFields count="27">
      <queryTableField id="1" name="appointment_id" tableColumnId="1"/>
      <queryTableField id="2" name="patient_id" tableColumnId="2"/>
      <queryTableField id="36" dataBound="0" tableColumnId="25"/>
      <queryTableField id="15" dataBound="0" tableColumnId="15"/>
      <queryTableField id="14" dataBound="0" tableColumnId="14"/>
      <queryTableField id="13" dataBound="0" tableColumnId="13"/>
      <queryTableField id="12" dataBound="0" tableColumnId="12"/>
      <queryTableField id="11" dataBound="0" tableColumnId="11"/>
      <queryTableField id="8" dataBound="0" tableColumnId="8"/>
      <queryTableField id="3" name="doctor_id" tableColumnId="3"/>
      <queryTableField id="37" dataBound="0" tableColumnId="26"/>
      <queryTableField id="22" dataBound="0" tableColumnId="22"/>
      <queryTableField id="21" dataBound="0" tableColumnId="21"/>
      <queryTableField id="19" dataBound="0" tableColumnId="19"/>
      <queryTableField id="41" dataBound="0" tableColumnId="30"/>
      <queryTableField id="40" dataBound="0" tableColumnId="29"/>
      <queryTableField id="39" dataBound="0" tableColumnId="28"/>
      <queryTableField id="38" dataBound="0" tableColumnId="27"/>
      <queryTableField id="18" dataBound="0" tableColumnId="18"/>
      <queryTableField id="4" dataBound="0" tableColumnId="4"/>
      <queryTableField id="6" dataBound="0" tableColumnId="6"/>
      <queryTableField id="7" dataBound="0" tableColumnId="7"/>
      <queryTableField id="51" dataBound="0" tableColumnId="36"/>
      <queryTableField id="50" dataBound="0" tableColumnId="35"/>
      <queryTableField id="53" dataBound="0" tableColumnId="38"/>
      <queryTableField id="52" dataBound="0" tableColumnId="37"/>
      <queryTableField id="49" dataBound="0" tableColumnId="34"/>
    </queryTableFields>
    <queryTableDeletedFields count="4">
      <deletedField name="appointment_date"/>
      <deletedField name="appointment_time"/>
      <deletedField name="reason_for_visit"/>
      <deletedField name="statu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8266004-99F8-4160-AD21-C780B5279794}" sourceName="Status">
  <pivotTables>
    <pivotTable tabId="23" name="PivotTable7"/>
    <pivotTable tabId="23" name="PivotTable9"/>
    <pivotTable tabId="23" name="PivotTable12"/>
    <pivotTable tabId="23" name="PivotTable14"/>
    <pivotTable tabId="23" name="PivotTable6"/>
    <pivotTable tabId="23" name="PivotTable8"/>
    <pivotTable tabId="23" name="PivotTable1"/>
    <pivotTable tabId="23" name="PivotTable2"/>
  </pivotTables>
  <data>
    <tabular pivotCacheId="1905959702">
      <items count="4">
        <i x="2" s="1"/>
        <i x="3" s="1"/>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 xr10:uid="{899FAB2B-845C-405F-A5CD-285B82AA7AA2}" sourceName="Hospital_branch">
  <pivotTables>
    <pivotTable tabId="23" name="PivotTable6"/>
    <pivotTable tabId="23" name="PivotTable7"/>
    <pivotTable tabId="23" name="PivotTable12"/>
    <pivotTable tabId="23" name="PivotTable14"/>
    <pivotTable tabId="23" name="PivotTable8"/>
    <pivotTable tabId="23" name="PivotTable9"/>
    <pivotTable tabId="23" name="PivotTable1"/>
    <pivotTable tabId="23" name="PivotTable2"/>
  </pivotTables>
  <data>
    <tabular pivotCacheId="1905959702">
      <items count="3">
        <i x="0"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 xr10:uid="{A748B74F-22A9-4B1A-9A74-116DE7049138}" sourceName="Specialization">
  <pivotTables>
    <pivotTable tabId="23" name="PivotTable6"/>
    <pivotTable tabId="23" name="PivotTable8"/>
    <pivotTable tabId="23" name="PivotTable12"/>
    <pivotTable tabId="23" name="PivotTable14"/>
    <pivotTable tabId="23" name="PivotTable7"/>
    <pivotTable tabId="23" name="PivotTable9"/>
    <pivotTable tabId="23" name="PivotTable1"/>
    <pivotTable tabId="23" name="PivotTable2"/>
  </pivotTables>
  <data>
    <tabular pivotCacheId="1905959702">
      <items count="3">
        <i x="2" s="1"/>
        <i x="0"/>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47F2E9E2-4687-4E99-893D-D64CD96AB8B1}" sourceName="Payment_status">
  <pivotTables>
    <pivotTable tabId="23" name="PivotTable12"/>
    <pivotTable tabId="23" name="PivotTable14"/>
    <pivotTable tabId="23" name="PivotTable2"/>
    <pivotTable tabId="23" name="PivotTable1"/>
    <pivotTable tabId="23" name="PivotTable6"/>
    <pivotTable tabId="23" name="PivotTable7"/>
    <pivotTable tabId="23" name="PivotTable8"/>
    <pivotTable tabId="23" name="PivotTable9"/>
  </pivotTables>
  <data>
    <tabular pivotCacheId="1905959702">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8CAA3AC-DAAC-4172-A78D-23F972007BD4}" sourceName="Payment_method">
  <pivotTables>
    <pivotTable tabId="23" name="PivotTable7"/>
    <pivotTable tabId="23" name="PivotTable12"/>
    <pivotTable tabId="23" name="PivotTable14"/>
    <pivotTable tabId="23" name="PivotTable6"/>
    <pivotTable tabId="23" name="PivotTable8"/>
    <pivotTable tabId="23" name="PivotTable9"/>
    <pivotTable tabId="23" name="PivotTable1"/>
    <pivotTable tabId="23" name="PivotTable2"/>
  </pivotTables>
  <data>
    <tabular pivotCacheId="1905959702">
      <items count="3">
        <i x="2" s="1"/>
        <i x="0" s="1"/>
        <i x="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visit" xr10:uid="{23C2646E-62C2-4DBD-8CA9-4E41197F2A50}" sourceName="Reason_for_visit">
  <pivotTables>
    <pivotTable tabId="23" name="PivotTable9"/>
    <pivotTable tabId="23" name="PivotTable12"/>
    <pivotTable tabId="23" name="PivotTable14"/>
    <pivotTable tabId="23" name="PivotTable6"/>
    <pivotTable tabId="23" name="PivotTable7"/>
    <pivotTable tabId="23" name="PivotTable8"/>
    <pivotTable tabId="23" name="PivotTable1"/>
    <pivotTable tabId="23" name="PivotTable2"/>
  </pivotTables>
  <data>
    <tabular pivotCacheId="1905959702">
      <items count="5">
        <i x="3" s="1"/>
        <i x="1" s="1"/>
        <i x="4" s="1"/>
        <i x="2" s="1" nd="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FB74F85C-883B-46D7-AA92-5A32CDC75A30}" sourceName="Treatment_type">
  <pivotTables>
    <pivotTable tabId="23" name="PivotTable6"/>
    <pivotTable tabId="23" name="PivotTable1"/>
    <pivotTable tabId="23" name="PivotTable12"/>
    <pivotTable tabId="23" name="PivotTable14"/>
    <pivotTable tabId="23" name="PivotTable2"/>
    <pivotTable tabId="23" name="PivotTable7"/>
    <pivotTable tabId="23" name="PivotTable8"/>
    <pivotTable tabId="23" name="PivotTable9"/>
  </pivotTables>
  <data>
    <tabular pivotCacheId="1905959702">
      <items count="5">
        <i x="0" s="1"/>
        <i x="2"/>
        <i x="1"/>
        <i x="3"/>
        <i x="4"/>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Full_Name" xr10:uid="{038CD124-6A88-4BB5-8CC4-A6EC5F416845}" sourceName="Doctor Full Name">
  <pivotTables>
    <pivotTable tabId="23" name="PivotTable8"/>
    <pivotTable tabId="23" name="PivotTable1"/>
    <pivotTable tabId="23" name="PivotTable12"/>
    <pivotTable tabId="23" name="PivotTable14"/>
    <pivotTable tabId="23" name="PivotTable2"/>
    <pivotTable tabId="23" name="PivotTable6"/>
    <pivotTable tabId="23" name="PivotTable7"/>
    <pivotTable tabId="23" name="PivotTable9"/>
  </pivotTables>
  <data>
    <tabular pivotCacheId="1905959702">
      <items count="10">
        <i x="9" s="1"/>
        <i x="2" s="1" nd="1"/>
        <i x="1" s="1" nd="1"/>
        <i x="8" s="1" nd="1"/>
        <i x="6" s="1" nd="1"/>
        <i x="3" s="1" nd="1"/>
        <i x="7" s="1" nd="1"/>
        <i x="5" s="1" nd="1"/>
        <i x="4"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43E07AD7-D0ED-43D1-B4C4-F3B6C4032FD4}" cache="Slicer_Status" caption="Status" style="SlicerStyleDark1" rowHeight="245835"/>
  <slicer name="Hospital_branch" xr10:uid="{342F2532-2D31-49B6-8C44-D9ACA498614C}" cache="Slicer_Hospital_branch" caption="Hospital_branch" style="SlicerStyleDark1" rowHeight="245835"/>
  <slicer name="Specialization" xr10:uid="{352815FB-5F0D-4395-A579-66CF108D0CCB}" cache="Slicer_Specialization" caption="Specialization" startItem="1" style="SlicerStyleDark1" rowHeight="245835"/>
  <slicer name="Payment_status" xr10:uid="{ECD0883D-E6A6-41C8-9DDA-2AED2DF304FA}" cache="Slicer_Payment_status" caption="Payment_status" style="SlicerStyleDark1" rowHeight="245835"/>
  <slicer name="Payment_method" xr10:uid="{905BA64A-6C00-498F-A59F-0B813DA75987}" cache="Slicer_Payment_method" caption="Payment_method" style="SlicerStyleDark1" rowHeight="245835"/>
  <slicer name="Reason_for_visit" xr10:uid="{AA088EB1-2C25-4E59-8171-7ED47C32AE01}" cache="Slicer_Reason_for_visit" caption="Reason_for_visit" style="SlicerStyleDark1" rowHeight="245835"/>
  <slicer name="Treatment_type" xr10:uid="{97DE153E-AF18-4126-BC5C-8CFECD8EAB74}" cache="Slicer_Treatment_type" caption="Treatment_type" startItem="1" style="SlicerStyleDark1"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0A7E3F43-C29E-4D98-BD12-2779FD62500C}" cache="Slicer_Status" caption="Status" style="SlicerStyleDark1" rowHeight="245835"/>
  <slicer name="Hospital_branch 1" xr10:uid="{19DE8D81-CCB7-44D5-AFC6-368D64F60795}" cache="Slicer_Hospital_branch" caption="Hospital_branch" style="SlicerStyleDark1" rowHeight="245835"/>
  <slicer name="Specialization 1" xr10:uid="{2A7EDEBF-C62F-4DA9-9F0D-F2226FEA5779}" cache="Slicer_Specialization" caption="Specialization" startItem="1" style="SlicerStyleDark1" rowHeight="245835"/>
  <slicer name="Payment_status 1" xr10:uid="{AF1CD423-857D-4883-9CFF-232716AA4190}" cache="Slicer_Payment_status" caption="Payment_status" style="SlicerStyleDark1" rowHeight="245835"/>
  <slicer name="Payment_method 1" xr10:uid="{C64C2C9D-22D8-47CE-96F5-E11D258C01FC}" cache="Slicer_Payment_method" caption="Payment_method" style="SlicerStyleDark1" rowHeight="245835"/>
  <slicer name="Reason_for_visit 1" xr10:uid="{3887C9BE-22A5-4F58-8361-DF6B66756448}" cache="Slicer_Reason_for_visit" caption="Reason_for_visit" style="SlicerStyleDark1" rowHeight="24583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C17EA7A4-32E9-4299-A0DD-F601CB31360B}" cache="Slicer_Status" caption="STATUS" style="SlicerStyleLight1 2" rowHeight="2520000"/>
  <slicer name="Hospital_branch 9" xr10:uid="{C62C74ED-5428-416A-B066-8ED366B0D35D}" cache="Slicer_Hospital_branch" caption="HOSPITAL_BRANCH" columnCount="3" style="SlicerStyleLight1 2" rowHeight="2412000"/>
  <slicer name="Specialization 2" xr10:uid="{F1224AAF-D1BD-494A-99CD-480B3D808A36}" cache="Slicer_Specialization" caption="SPECIALIZATION" columnCount="3" style="SlicerStyleLight1 2" rowHeight="2448000"/>
  <slicer name="Payment_status 2" xr10:uid="{8CC562DB-458E-4F01-A900-B9A30EC4F6E8}" cache="Slicer_Payment_status" caption="PAYMENT_STATUS" style="SlicerStyleLight1 2" rowHeight="2772000"/>
  <slicer name="Payment_method 2" xr10:uid="{B564D7F3-B753-4463-B795-A986A39DD2E5}" cache="Slicer_Payment_method" caption="PAYMENT_METHOD" style="SlicerStyleLight1 2" rowHeight="2772000"/>
  <slicer name="Reason_for_visit 2" xr10:uid="{1FBDF15B-04CF-4EE5-B3B5-0BB796D10B89}" cache="Slicer_Reason_for_visit" caption="REASON FOR VISIT" style="SlicerStyleLight1 2" rowHeight="2232000"/>
  <slicer name="Treatment_type 1" xr10:uid="{8E0253B2-7390-4CED-A8AF-2EB8760446A5}" cache="Slicer_Treatment_type" caption="TREATMENT_TYPE" columnCount="3" style="SlicerStyleLight1 2" rowHeight="2448000"/>
  <slicer name="Doctor Full Name" xr10:uid="{14B728BE-E514-41D9-A888-1BF973806F76}" cache="Slicer_Doctor_Full_Name" caption="Doctor Full Name" columnCount="2" style="SlicerStyleLight1 2" rowHeight="14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58912-6348-4EFD-9E67-B2D57BE9A574}" name="appointments" displayName="appointments" ref="A1:G201" tableType="queryTable" totalsRowShown="0">
  <autoFilter ref="A1:G201" xr:uid="{2AB58912-6348-4EFD-9E67-B2D57BE9A574}"/>
  <tableColumns count="7">
    <tableColumn id="1" xr3:uid="{B58F5E7F-B9F2-4649-8BE6-C545CE81A533}" uniqueName="1" name="appointment_id" queryTableFieldId="1" dataDxfId="21068"/>
    <tableColumn id="2" xr3:uid="{005169A7-57ED-4D93-90A3-6A4E4286B917}" uniqueName="2" name="patient_id" queryTableFieldId="2" dataDxfId="21067"/>
    <tableColumn id="3" xr3:uid="{A84B5267-ED34-4B7A-A8AA-C4F660DE23C7}" uniqueName="3" name="doctor_id" queryTableFieldId="3" dataDxfId="21066"/>
    <tableColumn id="4" xr3:uid="{C6F19FCE-CDCA-43DA-98D3-EF0F1FF56298}" uniqueName="4" name="appointment_date" queryTableFieldId="4" dataDxfId="21065"/>
    <tableColumn id="5" xr3:uid="{B4EF1A82-9863-4C8E-9371-6DF483EADDE8}" uniqueName="5" name="appointment_time" queryTableFieldId="5" dataDxfId="21064"/>
    <tableColumn id="6" xr3:uid="{EE04AE0D-CADC-4C0F-B469-07977E42C1B1}" uniqueName="6" name="reason_for_visit" queryTableFieldId="6" dataDxfId="21063"/>
    <tableColumn id="7" xr3:uid="{6DD0CC73-6F14-4BE6-B122-304811172F56}" uniqueName="7" name="status" queryTableFieldId="7" dataDxfId="2106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1CFF3A-1265-4774-B970-E9C4AD6A94B8}" name="patients" displayName="patients" ref="A1:K51" tableType="queryTable" totalsRowShown="0">
  <autoFilter ref="A1:K51" xr:uid="{6F1CFF3A-1265-4774-B970-E9C4AD6A94B8}"/>
  <tableColumns count="11">
    <tableColumn id="1" xr3:uid="{84E0AA5F-4705-4713-A71F-8DD4A53C29D1}" uniqueName="1" name="patient_id" queryTableFieldId="1" dataDxfId="21061"/>
    <tableColumn id="2" xr3:uid="{E28E0F07-0F8E-4F4F-90D8-98F3A4C0EF8E}" uniqueName="2" name="first_name" queryTableFieldId="2" dataDxfId="21060"/>
    <tableColumn id="3" xr3:uid="{A813BC07-E395-4101-A886-5264FCC781EB}" uniqueName="3" name="last_name" queryTableFieldId="3" dataDxfId="21059"/>
    <tableColumn id="4" xr3:uid="{CBEFBBAB-46EE-408F-9037-B453F3F967B9}" uniqueName="4" name="gender" queryTableFieldId="4" dataDxfId="21058"/>
    <tableColumn id="5" xr3:uid="{DFDDF069-F232-4839-BCAF-3E103D30675B}" uniqueName="5" name="date_of_birth" queryTableFieldId="5" dataDxfId="21057"/>
    <tableColumn id="6" xr3:uid="{0209DF52-D89C-4948-9CE1-2FDC8906E593}" uniqueName="6" name="contact_number" queryTableFieldId="6" dataDxfId="21056"/>
    <tableColumn id="7" xr3:uid="{B81D987E-A628-47D7-8EF9-C4D4CC1DF53B}" uniqueName="7" name="address" queryTableFieldId="7" dataDxfId="21055"/>
    <tableColumn id="8" xr3:uid="{8A3FAB89-5F6E-4F74-A21E-1C41A1014EC0}" uniqueName="8" name="registration_date" queryTableFieldId="8" dataDxfId="21054"/>
    <tableColumn id="9" xr3:uid="{BFF5BBF3-B15E-4217-9D5A-2C22A80E66CE}" uniqueName="9" name="insurance_provider" queryTableFieldId="9" dataDxfId="21053"/>
    <tableColumn id="10" xr3:uid="{EEBB3960-C8AB-4DF7-8794-366A3E614014}" uniqueName="10" name="insurance_number" queryTableFieldId="10" dataDxfId="21052"/>
    <tableColumn id="11" xr3:uid="{85623561-1794-4F87-B3BB-B03A41882162}" uniqueName="11" name="email" queryTableFieldId="11" dataDxfId="210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47B665-DA9A-4E5C-8C5A-650976A7E10A}" name="doctors" displayName="doctors" ref="A1:H11" tableType="queryTable" totalsRowShown="0">
  <autoFilter ref="A1:H11" xr:uid="{7247B665-DA9A-4E5C-8C5A-650976A7E10A}"/>
  <tableColumns count="8">
    <tableColumn id="1" xr3:uid="{F9D18EDF-20C7-463E-9499-516972230F2D}" uniqueName="1" name="doctor_id" queryTableFieldId="1" dataDxfId="21050"/>
    <tableColumn id="2" xr3:uid="{7FD08DE7-A4A1-4017-9E8C-186C2B6C3219}" uniqueName="2" name="first_name" queryTableFieldId="2" dataDxfId="21049"/>
    <tableColumn id="3" xr3:uid="{A8646586-5510-4604-A277-EA22DF76B7A5}" uniqueName="3" name="last_name" queryTableFieldId="3" dataDxfId="21048"/>
    <tableColumn id="4" xr3:uid="{BB0D84DB-E057-482E-97BA-7227C30DE2A8}" uniqueName="4" name="specialization" queryTableFieldId="4" dataDxfId="21047"/>
    <tableColumn id="5" xr3:uid="{8F5663CF-308B-4E98-9B8E-20F77C058569}" uniqueName="5" name="phone_number" queryTableFieldId="5" dataDxfId="21046"/>
    <tableColumn id="6" xr3:uid="{C42C1691-34D7-408D-8056-02D8696255EC}" uniqueName="6" name="years_experience" queryTableFieldId="6" dataDxfId="21045"/>
    <tableColumn id="7" xr3:uid="{6BCE1B84-AF97-4567-9150-4F0CB2E3055A}" uniqueName="7" name="hospital_branch" queryTableFieldId="7" dataDxfId="21044"/>
    <tableColumn id="8" xr3:uid="{D86710CD-6FD2-4F5C-AF54-B85E5FB8CAA7}" uniqueName="8" name="email" queryTableFieldId="8" dataDxfId="2104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C6D3E0-5C84-4651-A1AC-B40FED2F3550}" name="treatments" displayName="treatments" ref="A1:F201" tableType="queryTable" totalsRowShown="0">
  <autoFilter ref="A1:F201" xr:uid="{BFC6D3E0-5C84-4651-A1AC-B40FED2F3550}"/>
  <tableColumns count="6">
    <tableColumn id="2" xr3:uid="{363EF62D-E0A2-466E-85AD-A79782625BEB}" uniqueName="2" name="appointment_id" queryTableFieldId="2" dataDxfId="21042"/>
    <tableColumn id="1" xr3:uid="{BD3E097B-0940-4AEF-9CBA-10B9AF98A68C}" uniqueName="1" name="treatment_id" queryTableFieldId="1" dataDxfId="21041"/>
    <tableColumn id="3" xr3:uid="{9C94B7F7-115F-47C1-902B-5A2F88D71AAC}" uniqueName="3" name="treatment_type" queryTableFieldId="3" dataDxfId="21040"/>
    <tableColumn id="4" xr3:uid="{D75D3D6F-DD3A-45AE-A367-FE04B6DF1E0E}" uniqueName="4" name="description" queryTableFieldId="4" dataDxfId="21039"/>
    <tableColumn id="5" xr3:uid="{B289FAEE-8998-4DB8-B949-D9D618F22B8C}" uniqueName="5" name="cost" queryTableFieldId="5" dataDxfId="21038"/>
    <tableColumn id="6" xr3:uid="{281792D5-D496-4E80-BF86-2491E25E2369}" uniqueName="6" name="treatment_date" queryTableFieldId="6" dataDxfId="210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9DCF460-600D-4F65-957F-1D92828B4E18}" name="billing__2" displayName="billing__2" ref="A1:G201" tableType="queryTable" totalsRowShown="0">
  <autoFilter ref="A1:G201" xr:uid="{49DCF460-600D-4F65-957F-1D92828B4E18}"/>
  <tableColumns count="7">
    <tableColumn id="2" xr3:uid="{1B465A73-C3F9-4189-9B0C-94E23E9FBB78}" uniqueName="2" name="patient_id" queryTableFieldId="2" dataDxfId="21036"/>
    <tableColumn id="1" xr3:uid="{76586974-E8DC-4C77-A92D-1A65EDE9776C}" uniqueName="1" name="bill_id" queryTableFieldId="1" dataDxfId="21035"/>
    <tableColumn id="3" xr3:uid="{210935B5-F137-4D90-9B69-211A23616B24}" uniqueName="3" name="treatment_id" queryTableFieldId="3" dataDxfId="21034"/>
    <tableColumn id="4" xr3:uid="{1ACC2624-DD52-40A2-A17F-01600A76A338}" uniqueName="4" name="bill_date" queryTableFieldId="4" dataDxfId="21033"/>
    <tableColumn id="5" xr3:uid="{EDED0652-D59D-482A-BACB-7906A3DB53F6}" uniqueName="5" name="amount" queryTableFieldId="5" dataDxfId="21032"/>
    <tableColumn id="6" xr3:uid="{3CBEF379-1E6A-4B19-A257-4BC507847FA8}" uniqueName="6" name="payment_method" queryTableFieldId="6" dataDxfId="21031"/>
    <tableColumn id="7" xr3:uid="{8C7455F3-7107-4D69-BF6F-460DE71F78E6}" uniqueName="7" name="payment_status" queryTableFieldId="7" dataDxfId="2103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64404F-3EF1-4986-96A2-8817AEA70213}" name="appointments7" displayName="appointments7" ref="A1:AA201" tableType="queryTable" totalsRowShown="0" headerRowDxfId="21029" dataDxfId="21028">
  <tableColumns count="27">
    <tableColumn id="1" xr3:uid="{57497913-A899-4375-8201-5A2C707C392F}" uniqueName="1" name="Appointment_ID" queryTableFieldId="1" dataDxfId="21027"/>
    <tableColumn id="2" xr3:uid="{F557EC95-EEFA-4936-9439-25986AE76376}" uniqueName="2" name="Patient_ID" queryTableFieldId="2" dataDxfId="21026"/>
    <tableColumn id="25" xr3:uid="{20D41484-2B61-4B31-9C3F-AA822935EC17}" uniqueName="25" name="Patient Full Name" queryTableFieldId="36" dataDxfId="21025"/>
    <tableColumn id="15" xr3:uid="{DEC3403A-5FD9-4594-A8A9-9BFD91B7C8EC}" uniqueName="15" name="Gender" queryTableFieldId="15" dataDxfId="21024">
      <calculatedColumnFormula>VLOOKUP(appointments7[[#This Row],[Patient_ID]],Patients!$A:$K,4,FALSE)</calculatedColumnFormula>
    </tableColumn>
    <tableColumn id="14" xr3:uid="{F50B7967-26EB-4F97-AD11-42955B9412FA}" uniqueName="14" name="Date_of_birth" queryTableFieldId="14" dataDxfId="21023">
      <calculatedColumnFormula>VLOOKUP(appointments7[[#This Row],[Patient_ID]],Patients!$A:$K,5,FALSE)</calculatedColumnFormula>
    </tableColumn>
    <tableColumn id="13" xr3:uid="{8A89BA82-073F-4DB9-BA70-61E0A784B45E}" uniqueName="13" name="Contact_number" queryTableFieldId="13" dataDxfId="21022">
      <calculatedColumnFormula>VLOOKUP(appointments7[[#This Row],[Patient_ID]],Patients!$A:$K,6,FALSE)</calculatedColumnFormula>
    </tableColumn>
    <tableColumn id="12" xr3:uid="{8AEE18B9-11F7-4CE8-814D-A14074FC92FF}" uniqueName="12" name="Address" queryTableFieldId="12" dataDxfId="21021">
      <calculatedColumnFormula>VLOOKUP(appointments7[[#This Row],[Patient_ID]],Patients!$A:$K,7,FALSE)</calculatedColumnFormula>
    </tableColumn>
    <tableColumn id="11" xr3:uid="{DEAE1AB1-3553-47FC-A9B2-2F45C80A95AC}" uniqueName="11" name="Registration_date" queryTableFieldId="11" dataDxfId="21020">
      <calculatedColumnFormula>VLOOKUP(appointments7[[#This Row],[Patient_ID]],Patients!$A:$K,8,FALSE)</calculatedColumnFormula>
    </tableColumn>
    <tableColumn id="8" xr3:uid="{53D29A6A-F1B9-4320-9DAA-E8F3CD73D9DE}" uniqueName="8" name="Patient Email" queryTableFieldId="8" dataDxfId="21019">
      <calculatedColumnFormula>VLOOKUP(appointments7[[#This Row],[Patient_ID]],Patients!$A:$K,11,FALSE)</calculatedColumnFormula>
    </tableColumn>
    <tableColumn id="3" xr3:uid="{43D32AD1-E379-44B4-9354-CD4494E9CB4B}" uniqueName="3" name="Doctor_ID" queryTableFieldId="3" dataDxfId="21018"/>
    <tableColumn id="26" xr3:uid="{4A7B9AEB-A7C3-44C2-8EBC-EE3C94142C92}" uniqueName="26" name="Doctor Full Name" queryTableFieldId="37" dataDxfId="21017"/>
    <tableColumn id="22" xr3:uid="{AC03A948-0262-4767-AB7E-C2784599F476}" uniqueName="22" name="Specialization" queryTableFieldId="22" dataDxfId="21016">
      <calculatedColumnFormula>VLOOKUP(appointments7[[#This Row],[Doctor_ID]],Doctors!$A:$H,4,FALSE)</calculatedColumnFormula>
    </tableColumn>
    <tableColumn id="21" xr3:uid="{460733AD-ED3F-4E2B-AC99-4AE9422A95B2}" uniqueName="21" name="Phone_number" queryTableFieldId="21" dataDxfId="21015">
      <calculatedColumnFormula>VLOOKUP(appointments7[[#This Row],[Doctor_ID]],Doctors!$A:$H,5,FALSE)</calculatedColumnFormula>
    </tableColumn>
    <tableColumn id="19" xr3:uid="{4B5B38C0-9420-4D37-87D1-6EAA6F1E7201}" uniqueName="19" name="Hospital_branch" queryTableFieldId="19" dataDxfId="21014">
      <calculatedColumnFormula>VLOOKUP(appointments7[[#This Row],[Doctor_ID]],Doctors!$A:$H,7,FALSE)</calculatedColumnFormula>
    </tableColumn>
    <tableColumn id="30" xr3:uid="{1E41A5D6-27A8-4366-A0D8-E1201276824F}" uniqueName="30" name="Appointment_date" queryTableFieldId="41" dataDxfId="21013"/>
    <tableColumn id="29" xr3:uid="{705E9288-36CE-421E-B3F9-9BD3B74FE667}" uniqueName="29" name="Appointment_time" queryTableFieldId="40" dataDxfId="21012"/>
    <tableColumn id="28" xr3:uid="{5EAB35E3-2DC1-46DB-AA5B-361947F71B4A}" uniqueName="28" name="Reason_for_visit" queryTableFieldId="39" dataDxfId="21011"/>
    <tableColumn id="27" xr3:uid="{C4AAFD71-AD1D-4024-BF69-52D9899D524A}" uniqueName="27" name="Status" queryTableFieldId="38" dataDxfId="21010"/>
    <tableColumn id="18" xr3:uid="{AF1E0C9A-440A-496B-8719-24D7EF640ED4}" uniqueName="18" name="Treatment_ID" queryTableFieldId="18" dataDxfId="21009">
      <calculatedColumnFormula>VLOOKUP(appointments7[[#This Row],[Appointment_ID]],Treatments!$A:$F,2,FALSE)</calculatedColumnFormula>
    </tableColumn>
    <tableColumn id="4" xr3:uid="{1DE1E054-3230-4C97-9BEA-705670F009E6}" uniqueName="4" name="Treatment_type" queryTableFieldId="4" dataDxfId="21008">
      <calculatedColumnFormula>VLOOKUP(appointments7[[#This Row],[Appointment_ID]],Treatments!$A:$F,3,FALSE)</calculatedColumnFormula>
    </tableColumn>
    <tableColumn id="6" xr3:uid="{55FE9047-11D8-4E0B-970D-C21E6746F217}" uniqueName="6" name="Cost" queryTableFieldId="6" dataDxfId="21007">
      <calculatedColumnFormula>VLOOKUP(treatments[[#This Row],[appointment_id]],Treatments!$A:$F,5,FALSE)</calculatedColumnFormula>
    </tableColumn>
    <tableColumn id="7" xr3:uid="{349A0697-318C-4008-A5F6-D51124C63EAA}" uniqueName="7" name="Treatment_date" queryTableFieldId="7" dataDxfId="21006">
      <calculatedColumnFormula>VLOOKUP(appointments7[[#This Row],[Appointment_ID]],Treatments!$A:$F,6,FALSE)</calculatedColumnFormula>
    </tableColumn>
    <tableColumn id="36" xr3:uid="{BBF7F7CC-A53D-4AE9-BA32-EAE7199C6FB4}" uniqueName="36" name="Bill_ID" queryTableFieldId="51" dataDxfId="21005">
      <calculatedColumnFormula>VLOOKUP(appointments7[[#This Row],[Patient_ID]],Billing!$A:$G,2,FALSE)</calculatedColumnFormula>
    </tableColumn>
    <tableColumn id="35" xr3:uid="{D27CE7AD-2815-4136-A62A-AA8065E3E436}" uniqueName="35" name="Bill_date" queryTableFieldId="50" dataDxfId="21004">
      <calculatedColumnFormula>VLOOKUP(appointments7[[#This Row],[Patient_ID]],Billing!$A:$H,4,FALSE)</calculatedColumnFormula>
    </tableColumn>
    <tableColumn id="38" xr3:uid="{2BB14417-91AC-4B85-84E7-A4D377DE574C}" uniqueName="38" name="Amount" queryTableFieldId="53" dataDxfId="21003">
      <calculatedColumnFormula>VLOOKUP(appointments7[[#This Row],[Patient_ID]],Billing!$A:$G,5,FALSE)</calculatedColumnFormula>
    </tableColumn>
    <tableColumn id="37" xr3:uid="{30614A6E-5319-49E3-B280-A49B259B4FD0}" uniqueName="37" name="Payment_method" queryTableFieldId="52" dataDxfId="21002">
      <calculatedColumnFormula>VLOOKUP(appointments7[[#This Row],[Patient_ID]],Billing!$A:$G,6,FALSE)</calculatedColumnFormula>
    </tableColumn>
    <tableColumn id="34" xr3:uid="{CF0861B7-59E6-4C5A-86E8-D043294F7A9B}" uniqueName="34" name="Payment_status" queryTableFieldId="49" dataDxfId="21001">
      <calculatedColumnFormula>VLOOKUP(appointments7[[#This Row],[Patient_ID]],Billing!$A:$G,7,FALSE)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0ACD7E5-18C8-4DD5-93B4-69AC862C683E}" name="Table12" displayName="Table12" ref="B9:E18" totalsRowShown="0" headerRowDxfId="21000" dataDxfId="20999" tableBorderDxfId="20998">
  <tableColumns count="4">
    <tableColumn id="1" xr3:uid="{24809C48-4EE9-4B36-A99A-2AFE7349D909}" name="STEP" dataDxfId="20997"/>
    <tableColumn id="2" xr3:uid="{A74BBDF2-B49D-469F-8E3D-DB99AC2995AF}" name="SHEET" dataDxfId="20996"/>
    <tableColumn id="3" xr3:uid="{598AFC9D-7F24-4378-9F6E-0A1FACE3DA4D}" name="CHANGE MADE" dataDxfId="20995"/>
    <tableColumn id="4" xr3:uid="{A6B7886A-62F1-47E8-B39D-4A6D795730CB}" name="REASON" dataDxfId="2099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D0AB73-7157-4E77-B285-F05C6E82BCEA}" name="Table2" displayName="Table2" ref="E8:F27" totalsRowShown="0" headerRowDxfId="20781" headerRowBorderDxfId="20780" tableBorderDxfId="20779" totalsRowBorderDxfId="20778">
  <tableColumns count="2">
    <tableColumn id="1" xr3:uid="{78761512-EBE6-4D3D-A287-A77AC2C0B23E}" name="INSIGHTS" dataDxfId="20777"/>
    <tableColumn id="2" xr3:uid="{30396A2A-C1BB-4B65-B8B0-6B170898F673}" name="RECOMMENDATIONS" dataDxfId="20776"/>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Bill_date" xr10:uid="{2504533C-78C0-4542-B6BB-03CA66208313}" sourceName="Bill_date">
  <pivotTables>
    <pivotTable tabId="23" name="PivotTable14"/>
    <pivotTable tabId="23" name="PivotTable1"/>
    <pivotTable tabId="23" name="PivotTable12"/>
    <pivotTable tabId="23" name="PivotTable2"/>
    <pivotTable tabId="23" name="PivotTable6"/>
    <pivotTable tabId="23" name="PivotTable7"/>
    <pivotTable tabId="23" name="PivotTable8"/>
    <pivotTable tabId="23" name="PivotTable9"/>
  </pivotTables>
  <state minimalRefreshVersion="6" lastRefreshVersion="6" pivotCacheId="1905959702"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ll_date" xr10:uid="{5F9439F0-1EB3-4150-925C-32FA315E9B64}" cache="NativeTimeline_Bill_date" caption="Bill_date" level="2"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ll_date 1" xr10:uid="{98936C32-E126-4989-950E-6B31E2D28B7D}" cache="NativeTimeline_Bill_date" caption="Bill_date" level="2" selectionLevel="0" scrollPosition="2023-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ll_date 2" xr10:uid="{4C6D3A03-64B5-4548-A8AB-A6B9DB9CD296}" cache="NativeTimeline_Bill_date" caption="Bill_date" showHeader="0" level="2" selectionLevel="0" scrollPosition="2023-01-01T00:00:00" style="TimeSlicerStyleDark1 2"/>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4">
    <wetp:webextensionref xmlns:r="http://schemas.openxmlformats.org/officeDocument/2006/relationships" r:id="rId1"/>
  </wetp:taskpane>
  <wetp:taskpane dockstate="right" visibility="0" width="613"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9F6C896-65AD-429F-82C5-DC95DABF368C}">
  <we:reference id="wa104379190" version="2.0.0.0" store="en-US" storeType="OMEX"/>
  <we:alternateReferences>
    <we:reference id="wa104379190" version="2.0.0.0" store="wa104379190"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15F0BAA4-21C6-41D8-BE33-D7B96821CB06}">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11/relationships/timeline" Target="../timelines/timeline3.xml"/><Relationship Id="rId4" Type="http://schemas.microsoft.com/office/2007/relationships/slicer" Target="../slicers/slicer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A9AA-F242-4E74-B65C-CDB2942111DC}">
  <dimension ref="A1:K201"/>
  <sheetViews>
    <sheetView workbookViewId="0">
      <selection activeCell="K21" sqref="K21"/>
    </sheetView>
  </sheetViews>
  <sheetFormatPr defaultRowHeight="14.6" x14ac:dyDescent="0.4"/>
  <cols>
    <col min="1" max="1" width="16.53515625" bestFit="1" customWidth="1"/>
    <col min="2" max="2" width="11.61328125" bestFit="1" customWidth="1"/>
    <col min="3" max="3" width="11.07421875" bestFit="1" customWidth="1"/>
    <col min="4" max="5" width="18.765625" bestFit="1" customWidth="1"/>
    <col min="6" max="6" width="16.4609375" bestFit="1" customWidth="1"/>
    <col min="7" max="7" width="9.921875" bestFit="1" customWidth="1"/>
  </cols>
  <sheetData>
    <row r="1" spans="1:7" x14ac:dyDescent="0.4">
      <c r="A1" t="s">
        <v>0</v>
      </c>
      <c r="B1" t="s">
        <v>1</v>
      </c>
      <c r="C1" t="s">
        <v>2</v>
      </c>
      <c r="D1" t="s">
        <v>3</v>
      </c>
      <c r="E1" t="s">
        <v>4</v>
      </c>
      <c r="F1" t="s">
        <v>5</v>
      </c>
      <c r="G1" t="s">
        <v>6</v>
      </c>
    </row>
    <row r="2" spans="1:7" x14ac:dyDescent="0.4">
      <c r="A2" s="4" t="s">
        <v>7</v>
      </c>
      <c r="B2" s="4" t="s">
        <v>8</v>
      </c>
      <c r="C2" s="4" t="s">
        <v>9</v>
      </c>
      <c r="D2" s="5">
        <v>45147</v>
      </c>
      <c r="E2" s="6">
        <v>0.63541666666666674</v>
      </c>
      <c r="F2" s="4" t="s">
        <v>10</v>
      </c>
      <c r="G2" s="4" t="s">
        <v>11</v>
      </c>
    </row>
    <row r="3" spans="1:7" x14ac:dyDescent="0.4">
      <c r="A3" s="4" t="s">
        <v>12</v>
      </c>
      <c r="B3" s="4" t="s">
        <v>13</v>
      </c>
      <c r="C3" s="4" t="s">
        <v>14</v>
      </c>
      <c r="D3" s="5">
        <v>45086</v>
      </c>
      <c r="E3" s="6">
        <v>0.60416666666666674</v>
      </c>
      <c r="F3" s="4" t="s">
        <v>10</v>
      </c>
      <c r="G3" s="4" t="s">
        <v>15</v>
      </c>
    </row>
    <row r="4" spans="1:7" x14ac:dyDescent="0.4">
      <c r="A4" s="4" t="s">
        <v>16</v>
      </c>
      <c r="B4" s="4" t="s">
        <v>17</v>
      </c>
      <c r="C4" s="4" t="s">
        <v>14</v>
      </c>
      <c r="D4" s="5">
        <v>45105</v>
      </c>
      <c r="E4" s="6">
        <v>0.33333333333333326</v>
      </c>
      <c r="F4" s="4" t="s">
        <v>18</v>
      </c>
      <c r="G4" s="4" t="s">
        <v>19</v>
      </c>
    </row>
    <row r="5" spans="1:7" x14ac:dyDescent="0.4">
      <c r="A5" s="4" t="s">
        <v>20</v>
      </c>
      <c r="B5" s="4" t="s">
        <v>21</v>
      </c>
      <c r="C5" s="4" t="s">
        <v>22</v>
      </c>
      <c r="D5" s="5">
        <v>45170</v>
      </c>
      <c r="E5" s="6">
        <v>0.38541666666666674</v>
      </c>
      <c r="F5" s="4" t="s">
        <v>18</v>
      </c>
      <c r="G5" s="4" t="s">
        <v>19</v>
      </c>
    </row>
    <row r="6" spans="1:7" x14ac:dyDescent="0.4">
      <c r="A6" s="4" t="s">
        <v>23</v>
      </c>
      <c r="B6" s="4" t="s">
        <v>24</v>
      </c>
      <c r="C6" s="4" t="s">
        <v>25</v>
      </c>
      <c r="D6" s="5">
        <v>45113</v>
      </c>
      <c r="E6" s="6">
        <v>0.53125</v>
      </c>
      <c r="F6" s="4" t="s">
        <v>26</v>
      </c>
      <c r="G6" s="4" t="s">
        <v>15</v>
      </c>
    </row>
    <row r="7" spans="1:7" x14ac:dyDescent="0.4">
      <c r="A7" s="4" t="s">
        <v>27</v>
      </c>
      <c r="B7" s="4" t="s">
        <v>28</v>
      </c>
      <c r="C7" s="4" t="s">
        <v>22</v>
      </c>
      <c r="D7" s="5">
        <v>45096</v>
      </c>
      <c r="E7" s="6">
        <v>0.67708333333333326</v>
      </c>
      <c r="F7" s="4" t="s">
        <v>29</v>
      </c>
      <c r="G7" s="4" t="s">
        <v>11</v>
      </c>
    </row>
    <row r="8" spans="1:7" x14ac:dyDescent="0.4">
      <c r="A8" s="4" t="s">
        <v>30</v>
      </c>
      <c r="B8" s="4" t="s">
        <v>31</v>
      </c>
      <c r="C8" s="4" t="s">
        <v>32</v>
      </c>
      <c r="D8" s="5">
        <v>45025</v>
      </c>
      <c r="E8" s="6">
        <v>0.4375</v>
      </c>
      <c r="F8" s="4" t="s">
        <v>18</v>
      </c>
      <c r="G8" s="4" t="s">
        <v>11</v>
      </c>
    </row>
    <row r="9" spans="1:7" x14ac:dyDescent="0.4">
      <c r="A9" s="4" t="s">
        <v>33</v>
      </c>
      <c r="B9" s="4" t="s">
        <v>34</v>
      </c>
      <c r="C9" s="4" t="s">
        <v>35</v>
      </c>
      <c r="D9" s="5">
        <v>45070</v>
      </c>
      <c r="E9" s="6">
        <v>0.36458333333333326</v>
      </c>
      <c r="F9" s="4" t="s">
        <v>18</v>
      </c>
      <c r="G9" s="4" t="s">
        <v>19</v>
      </c>
    </row>
    <row r="10" spans="1:7" x14ac:dyDescent="0.4">
      <c r="A10" s="4" t="s">
        <v>36</v>
      </c>
      <c r="B10" s="4" t="s">
        <v>37</v>
      </c>
      <c r="C10" s="4" t="s">
        <v>35</v>
      </c>
      <c r="D10" s="5">
        <v>44990</v>
      </c>
      <c r="E10" s="6">
        <v>0.57291666666666674</v>
      </c>
      <c r="F10" s="4" t="s">
        <v>38</v>
      </c>
      <c r="G10" s="4" t="s">
        <v>11</v>
      </c>
    </row>
    <row r="11" spans="1:7" x14ac:dyDescent="0.4">
      <c r="A11" s="4" t="s">
        <v>39</v>
      </c>
      <c r="B11" s="4" t="s">
        <v>40</v>
      </c>
      <c r="C11" s="4" t="s">
        <v>25</v>
      </c>
      <c r="D11" s="5">
        <v>44939</v>
      </c>
      <c r="E11" s="6">
        <v>0.64583333333333326</v>
      </c>
      <c r="F11" s="4" t="s">
        <v>10</v>
      </c>
      <c r="G11" s="4" t="s">
        <v>41</v>
      </c>
    </row>
    <row r="12" spans="1:7" x14ac:dyDescent="0.4">
      <c r="A12" s="4" t="s">
        <v>42</v>
      </c>
      <c r="B12" s="4" t="s">
        <v>43</v>
      </c>
      <c r="C12" s="4" t="s">
        <v>32</v>
      </c>
      <c r="D12" s="5">
        <v>45242</v>
      </c>
      <c r="E12" s="6">
        <v>0.66666666666666674</v>
      </c>
      <c r="F12" s="4" t="s">
        <v>29</v>
      </c>
      <c r="G12" s="4" t="s">
        <v>15</v>
      </c>
    </row>
    <row r="13" spans="1:7" x14ac:dyDescent="0.4">
      <c r="A13" s="4" t="s">
        <v>44</v>
      </c>
      <c r="B13" s="4" t="s">
        <v>45</v>
      </c>
      <c r="C13" s="4" t="s">
        <v>25</v>
      </c>
      <c r="D13" s="5">
        <v>45053</v>
      </c>
      <c r="E13" s="6">
        <v>0.41666666666666674</v>
      </c>
      <c r="F13" s="4" t="s">
        <v>38</v>
      </c>
      <c r="G13" s="4" t="s">
        <v>41</v>
      </c>
    </row>
    <row r="14" spans="1:7" x14ac:dyDescent="0.4">
      <c r="A14" s="4" t="s">
        <v>46</v>
      </c>
      <c r="B14" s="4" t="s">
        <v>47</v>
      </c>
      <c r="C14" s="4" t="s">
        <v>48</v>
      </c>
      <c r="D14" s="5">
        <v>45154</v>
      </c>
      <c r="E14" s="6">
        <v>0.5</v>
      </c>
      <c r="F14" s="4" t="s">
        <v>26</v>
      </c>
      <c r="G14" s="4" t="s">
        <v>11</v>
      </c>
    </row>
    <row r="15" spans="1:7" x14ac:dyDescent="0.4">
      <c r="A15" s="4" t="s">
        <v>49</v>
      </c>
      <c r="B15" s="4" t="s">
        <v>50</v>
      </c>
      <c r="C15" s="4" t="s">
        <v>35</v>
      </c>
      <c r="D15" s="5">
        <v>45071</v>
      </c>
      <c r="E15" s="6">
        <v>0.4375</v>
      </c>
      <c r="F15" s="4" t="s">
        <v>26</v>
      </c>
      <c r="G15" s="4" t="s">
        <v>19</v>
      </c>
    </row>
    <row r="16" spans="1:7" x14ac:dyDescent="0.4">
      <c r="A16" s="4" t="s">
        <v>51</v>
      </c>
      <c r="B16" s="4" t="s">
        <v>52</v>
      </c>
      <c r="C16" s="4" t="s">
        <v>14</v>
      </c>
      <c r="D16" s="5">
        <v>44941</v>
      </c>
      <c r="E16" s="6">
        <v>0.71875</v>
      </c>
      <c r="F16" s="4" t="s">
        <v>18</v>
      </c>
      <c r="G16" s="4" t="s">
        <v>15</v>
      </c>
    </row>
    <row r="17" spans="1:7" x14ac:dyDescent="0.4">
      <c r="A17" s="4" t="s">
        <v>53</v>
      </c>
      <c r="B17" s="4" t="s">
        <v>34</v>
      </c>
      <c r="C17" s="4" t="s">
        <v>54</v>
      </c>
      <c r="D17" s="5">
        <v>45107</v>
      </c>
      <c r="E17" s="6">
        <v>0.45833333333333326</v>
      </c>
      <c r="F17" s="4" t="s">
        <v>18</v>
      </c>
      <c r="G17" s="4" t="s">
        <v>11</v>
      </c>
    </row>
    <row r="18" spans="1:7" x14ac:dyDescent="0.4">
      <c r="A18" s="4" t="s">
        <v>55</v>
      </c>
      <c r="B18" s="4" t="s">
        <v>56</v>
      </c>
      <c r="C18" s="4" t="s">
        <v>9</v>
      </c>
      <c r="D18" s="5">
        <v>45118</v>
      </c>
      <c r="E18" s="6">
        <v>0.70833333333333326</v>
      </c>
      <c r="F18" s="4" t="s">
        <v>26</v>
      </c>
      <c r="G18" s="4" t="s">
        <v>11</v>
      </c>
    </row>
    <row r="19" spans="1:7" x14ac:dyDescent="0.4">
      <c r="A19" s="4" t="s">
        <v>57</v>
      </c>
      <c r="B19" s="4" t="s">
        <v>43</v>
      </c>
      <c r="C19" s="4" t="s">
        <v>32</v>
      </c>
      <c r="D19" s="5">
        <v>45244</v>
      </c>
      <c r="E19" s="6">
        <v>0.40625</v>
      </c>
      <c r="F19" s="4" t="s">
        <v>18</v>
      </c>
      <c r="G19" s="4" t="s">
        <v>19</v>
      </c>
    </row>
    <row r="20" spans="1:7" x14ac:dyDescent="0.4">
      <c r="A20" s="4" t="s">
        <v>58</v>
      </c>
      <c r="B20" s="4" t="s">
        <v>45</v>
      </c>
      <c r="C20" s="4" t="s">
        <v>59</v>
      </c>
      <c r="D20" s="5">
        <v>44963</v>
      </c>
      <c r="E20" s="6">
        <v>0.64583333333333326</v>
      </c>
      <c r="F20" s="4" t="s">
        <v>29</v>
      </c>
      <c r="G20" s="4" t="s">
        <v>19</v>
      </c>
    </row>
    <row r="21" spans="1:7" x14ac:dyDescent="0.4">
      <c r="A21" s="4" t="s">
        <v>60</v>
      </c>
      <c r="B21" s="4" t="s">
        <v>61</v>
      </c>
      <c r="C21" s="4" t="s">
        <v>25</v>
      </c>
      <c r="D21" s="5">
        <v>45265</v>
      </c>
      <c r="E21" s="6">
        <v>0.63541666666666674</v>
      </c>
      <c r="F21" s="4" t="s">
        <v>18</v>
      </c>
      <c r="G21" s="4" t="s">
        <v>41</v>
      </c>
    </row>
    <row r="22" spans="1:7" x14ac:dyDescent="0.4">
      <c r="A22" s="4" t="s">
        <v>62</v>
      </c>
      <c r="B22" s="4" t="s">
        <v>63</v>
      </c>
      <c r="C22" s="4" t="s">
        <v>9</v>
      </c>
      <c r="D22" s="5">
        <v>45040</v>
      </c>
      <c r="E22" s="6">
        <v>0.41666666666666674</v>
      </c>
      <c r="F22" s="4" t="s">
        <v>10</v>
      </c>
      <c r="G22" s="4" t="s">
        <v>15</v>
      </c>
    </row>
    <row r="23" spans="1:7" x14ac:dyDescent="0.4">
      <c r="A23" s="4" t="s">
        <v>64</v>
      </c>
      <c r="B23" s="4" t="s">
        <v>40</v>
      </c>
      <c r="C23" s="4" t="s">
        <v>59</v>
      </c>
      <c r="D23" s="5">
        <v>45244</v>
      </c>
      <c r="E23" s="6">
        <v>0.54166666666666674</v>
      </c>
      <c r="F23" s="4" t="s">
        <v>18</v>
      </c>
      <c r="G23" s="4" t="s">
        <v>15</v>
      </c>
    </row>
    <row r="24" spans="1:7" x14ac:dyDescent="0.4">
      <c r="A24" s="4" t="s">
        <v>65</v>
      </c>
      <c r="B24" s="4" t="s">
        <v>66</v>
      </c>
      <c r="C24" s="4" t="s">
        <v>9</v>
      </c>
      <c r="D24" s="5">
        <v>45055</v>
      </c>
      <c r="E24" s="6">
        <v>0.60416666666666674</v>
      </c>
      <c r="F24" s="4" t="s">
        <v>38</v>
      </c>
      <c r="G24" s="4" t="s">
        <v>19</v>
      </c>
    </row>
    <row r="25" spans="1:7" x14ac:dyDescent="0.4">
      <c r="A25" s="4" t="s">
        <v>67</v>
      </c>
      <c r="B25" s="4" t="s">
        <v>68</v>
      </c>
      <c r="C25" s="4" t="s">
        <v>54</v>
      </c>
      <c r="D25" s="5">
        <v>45098</v>
      </c>
      <c r="E25" s="6">
        <v>0.33333333333333326</v>
      </c>
      <c r="F25" s="4" t="s">
        <v>29</v>
      </c>
      <c r="G25" s="4" t="s">
        <v>41</v>
      </c>
    </row>
    <row r="26" spans="1:7" x14ac:dyDescent="0.4">
      <c r="A26" s="4" t="s">
        <v>69</v>
      </c>
      <c r="B26" s="4" t="s">
        <v>70</v>
      </c>
      <c r="C26" s="4" t="s">
        <v>59</v>
      </c>
      <c r="D26" s="5">
        <v>44982</v>
      </c>
      <c r="E26" s="6">
        <v>0.33333333333333326</v>
      </c>
      <c r="F26" s="4" t="s">
        <v>38</v>
      </c>
      <c r="G26" s="4" t="s">
        <v>15</v>
      </c>
    </row>
    <row r="27" spans="1:7" x14ac:dyDescent="0.4">
      <c r="A27" s="4" t="s">
        <v>71</v>
      </c>
      <c r="B27" s="4" t="s">
        <v>72</v>
      </c>
      <c r="C27" s="4" t="s">
        <v>22</v>
      </c>
      <c r="D27" s="5">
        <v>45002</v>
      </c>
      <c r="E27" s="6">
        <v>0.59375</v>
      </c>
      <c r="F27" s="4" t="s">
        <v>38</v>
      </c>
      <c r="G27" s="4" t="s">
        <v>19</v>
      </c>
    </row>
    <row r="28" spans="1:7" x14ac:dyDescent="0.4">
      <c r="A28" s="4" t="s">
        <v>73</v>
      </c>
      <c r="B28" s="4" t="s">
        <v>40</v>
      </c>
      <c r="C28" s="4" t="s">
        <v>74</v>
      </c>
      <c r="D28" s="5">
        <v>45244</v>
      </c>
      <c r="E28" s="6">
        <v>0.53125</v>
      </c>
      <c r="F28" s="4" t="s">
        <v>10</v>
      </c>
      <c r="G28" s="4" t="s">
        <v>11</v>
      </c>
    </row>
    <row r="29" spans="1:7" x14ac:dyDescent="0.4">
      <c r="A29" s="4" t="s">
        <v>75</v>
      </c>
      <c r="B29" s="4" t="s">
        <v>50</v>
      </c>
      <c r="C29" s="4" t="s">
        <v>22</v>
      </c>
      <c r="D29" s="5">
        <v>45228</v>
      </c>
      <c r="E29" s="6">
        <v>0.64583333333333326</v>
      </c>
      <c r="F29" s="4" t="s">
        <v>29</v>
      </c>
      <c r="G29" s="4" t="s">
        <v>15</v>
      </c>
    </row>
    <row r="30" spans="1:7" x14ac:dyDescent="0.4">
      <c r="A30" s="4" t="s">
        <v>76</v>
      </c>
      <c r="B30" s="4" t="s">
        <v>34</v>
      </c>
      <c r="C30" s="4" t="s">
        <v>35</v>
      </c>
      <c r="D30" s="5">
        <v>45102</v>
      </c>
      <c r="E30" s="6">
        <v>0.60416666666666674</v>
      </c>
      <c r="F30" s="4" t="s">
        <v>29</v>
      </c>
      <c r="G30" s="4" t="s">
        <v>41</v>
      </c>
    </row>
    <row r="31" spans="1:7" x14ac:dyDescent="0.4">
      <c r="A31" s="4" t="s">
        <v>77</v>
      </c>
      <c r="B31" s="4" t="s">
        <v>52</v>
      </c>
      <c r="C31" s="4" t="s">
        <v>74</v>
      </c>
      <c r="D31" s="5">
        <v>45167</v>
      </c>
      <c r="E31" s="6">
        <v>0.55208333333333326</v>
      </c>
      <c r="F31" s="4" t="s">
        <v>29</v>
      </c>
      <c r="G31" s="4" t="s">
        <v>41</v>
      </c>
    </row>
    <row r="32" spans="1:7" x14ac:dyDescent="0.4">
      <c r="A32" s="4" t="s">
        <v>78</v>
      </c>
      <c r="B32" s="4" t="s">
        <v>52</v>
      </c>
      <c r="C32" s="4" t="s">
        <v>22</v>
      </c>
      <c r="D32" s="5">
        <v>45020</v>
      </c>
      <c r="E32" s="6">
        <v>0.4375</v>
      </c>
      <c r="F32" s="4" t="s">
        <v>29</v>
      </c>
      <c r="G32" s="4" t="s">
        <v>41</v>
      </c>
    </row>
    <row r="33" spans="1:7" x14ac:dyDescent="0.4">
      <c r="A33" s="4" t="s">
        <v>79</v>
      </c>
      <c r="B33" s="4" t="s">
        <v>17</v>
      </c>
      <c r="C33" s="4" t="s">
        <v>74</v>
      </c>
      <c r="D33" s="5">
        <v>45236</v>
      </c>
      <c r="E33" s="6">
        <v>0.44791666666666674</v>
      </c>
      <c r="F33" s="4" t="s">
        <v>29</v>
      </c>
      <c r="G33" s="4" t="s">
        <v>11</v>
      </c>
    </row>
    <row r="34" spans="1:7" x14ac:dyDescent="0.4">
      <c r="A34" s="4" t="s">
        <v>80</v>
      </c>
      <c r="B34" s="4" t="s">
        <v>81</v>
      </c>
      <c r="C34" s="4" t="s">
        <v>74</v>
      </c>
      <c r="D34" s="5">
        <v>45192</v>
      </c>
      <c r="E34" s="6">
        <v>0.73958333333333326</v>
      </c>
      <c r="F34" s="4" t="s">
        <v>10</v>
      </c>
      <c r="G34" s="4" t="s">
        <v>15</v>
      </c>
    </row>
    <row r="35" spans="1:7" x14ac:dyDescent="0.4">
      <c r="A35" s="4" t="s">
        <v>82</v>
      </c>
      <c r="B35" s="4" t="s">
        <v>37</v>
      </c>
      <c r="C35" s="4" t="s">
        <v>14</v>
      </c>
      <c r="D35" s="5">
        <v>45090</v>
      </c>
      <c r="E35" s="6">
        <v>0.47916666666666674</v>
      </c>
      <c r="F35" s="4" t="s">
        <v>18</v>
      </c>
      <c r="G35" s="4" t="s">
        <v>15</v>
      </c>
    </row>
    <row r="36" spans="1:7" x14ac:dyDescent="0.4">
      <c r="A36" s="4" t="s">
        <v>83</v>
      </c>
      <c r="B36" s="4" t="s">
        <v>84</v>
      </c>
      <c r="C36" s="4" t="s">
        <v>25</v>
      </c>
      <c r="D36" s="5">
        <v>45034</v>
      </c>
      <c r="E36" s="6">
        <v>0.36458333333333326</v>
      </c>
      <c r="F36" s="4" t="s">
        <v>38</v>
      </c>
      <c r="G36" s="4" t="s">
        <v>11</v>
      </c>
    </row>
    <row r="37" spans="1:7" x14ac:dyDescent="0.4">
      <c r="A37" s="4" t="s">
        <v>85</v>
      </c>
      <c r="B37" s="4" t="s">
        <v>86</v>
      </c>
      <c r="C37" s="4" t="s">
        <v>25</v>
      </c>
      <c r="D37" s="5">
        <v>44934</v>
      </c>
      <c r="E37" s="6">
        <v>0.60416666666666674</v>
      </c>
      <c r="F37" s="4" t="s">
        <v>29</v>
      </c>
      <c r="G37" s="4" t="s">
        <v>15</v>
      </c>
    </row>
    <row r="38" spans="1:7" x14ac:dyDescent="0.4">
      <c r="A38" s="4" t="s">
        <v>87</v>
      </c>
      <c r="B38" s="4" t="s">
        <v>70</v>
      </c>
      <c r="C38" s="4" t="s">
        <v>14</v>
      </c>
      <c r="D38" s="5">
        <v>45013</v>
      </c>
      <c r="E38" s="6">
        <v>0.45833333333333326</v>
      </c>
      <c r="F38" s="4" t="s">
        <v>18</v>
      </c>
      <c r="G38" s="4" t="s">
        <v>11</v>
      </c>
    </row>
    <row r="39" spans="1:7" x14ac:dyDescent="0.4">
      <c r="A39" s="4" t="s">
        <v>88</v>
      </c>
      <c r="B39" s="4" t="s">
        <v>56</v>
      </c>
      <c r="C39" s="4" t="s">
        <v>9</v>
      </c>
      <c r="D39" s="5">
        <v>44980</v>
      </c>
      <c r="E39" s="6">
        <v>0.54166666666666674</v>
      </c>
      <c r="F39" s="4" t="s">
        <v>18</v>
      </c>
      <c r="G39" s="4" t="s">
        <v>11</v>
      </c>
    </row>
    <row r="40" spans="1:7" x14ac:dyDescent="0.4">
      <c r="A40" s="4" t="s">
        <v>89</v>
      </c>
      <c r="B40" s="4" t="s">
        <v>90</v>
      </c>
      <c r="C40" s="4" t="s">
        <v>48</v>
      </c>
      <c r="D40" s="5">
        <v>45033</v>
      </c>
      <c r="E40" s="6">
        <v>0.33333333333333326</v>
      </c>
      <c r="F40" s="4" t="s">
        <v>38</v>
      </c>
      <c r="G40" s="4" t="s">
        <v>11</v>
      </c>
    </row>
    <row r="41" spans="1:7" x14ac:dyDescent="0.4">
      <c r="A41" s="4" t="s">
        <v>91</v>
      </c>
      <c r="B41" s="4" t="s">
        <v>92</v>
      </c>
      <c r="C41" s="4" t="s">
        <v>9</v>
      </c>
      <c r="D41" s="5">
        <v>45012</v>
      </c>
      <c r="E41" s="6">
        <v>0.52083333333333326</v>
      </c>
      <c r="F41" s="4" t="s">
        <v>10</v>
      </c>
      <c r="G41" s="4" t="s">
        <v>41</v>
      </c>
    </row>
    <row r="42" spans="1:7" x14ac:dyDescent="0.4">
      <c r="A42" s="4" t="s">
        <v>93</v>
      </c>
      <c r="B42" s="4" t="s">
        <v>40</v>
      </c>
      <c r="C42" s="4" t="s">
        <v>59</v>
      </c>
      <c r="D42" s="5">
        <v>44927</v>
      </c>
      <c r="E42" s="6">
        <v>0.58333333333333326</v>
      </c>
      <c r="F42" s="4" t="s">
        <v>26</v>
      </c>
      <c r="G42" s="4" t="s">
        <v>15</v>
      </c>
    </row>
    <row r="43" spans="1:7" x14ac:dyDescent="0.4">
      <c r="A43" s="4" t="s">
        <v>94</v>
      </c>
      <c r="B43" s="4" t="s">
        <v>84</v>
      </c>
      <c r="C43" s="4" t="s">
        <v>59</v>
      </c>
      <c r="D43" s="5">
        <v>45006</v>
      </c>
      <c r="E43" s="6">
        <v>0.46875</v>
      </c>
      <c r="F43" s="4" t="s">
        <v>26</v>
      </c>
      <c r="G43" s="4" t="s">
        <v>11</v>
      </c>
    </row>
    <row r="44" spans="1:7" x14ac:dyDescent="0.4">
      <c r="A44" s="4" t="s">
        <v>95</v>
      </c>
      <c r="B44" s="4" t="s">
        <v>8</v>
      </c>
      <c r="C44" s="4" t="s">
        <v>74</v>
      </c>
      <c r="D44" s="5">
        <v>45014</v>
      </c>
      <c r="E44" s="6">
        <v>0.38541666666666674</v>
      </c>
      <c r="F44" s="4" t="s">
        <v>18</v>
      </c>
      <c r="G44" s="4" t="s">
        <v>15</v>
      </c>
    </row>
    <row r="45" spans="1:7" x14ac:dyDescent="0.4">
      <c r="A45" s="4" t="s">
        <v>96</v>
      </c>
      <c r="B45" s="4" t="s">
        <v>97</v>
      </c>
      <c r="C45" s="4" t="s">
        <v>22</v>
      </c>
      <c r="D45" s="5">
        <v>45189</v>
      </c>
      <c r="E45" s="6">
        <v>0.52083333333333326</v>
      </c>
      <c r="F45" s="4" t="s">
        <v>38</v>
      </c>
      <c r="G45" s="4" t="s">
        <v>41</v>
      </c>
    </row>
    <row r="46" spans="1:7" x14ac:dyDescent="0.4">
      <c r="A46" s="4" t="s">
        <v>98</v>
      </c>
      <c r="B46" s="4" t="s">
        <v>92</v>
      </c>
      <c r="C46" s="4" t="s">
        <v>22</v>
      </c>
      <c r="D46" s="5">
        <v>45197</v>
      </c>
      <c r="E46" s="6">
        <v>0.70833333333333326</v>
      </c>
      <c r="F46" s="4" t="s">
        <v>26</v>
      </c>
      <c r="G46" s="4" t="s">
        <v>11</v>
      </c>
    </row>
    <row r="47" spans="1:7" x14ac:dyDescent="0.4">
      <c r="A47" s="4" t="s">
        <v>99</v>
      </c>
      <c r="B47" s="4" t="s">
        <v>100</v>
      </c>
      <c r="C47" s="4" t="s">
        <v>25</v>
      </c>
      <c r="D47" s="5">
        <v>45280</v>
      </c>
      <c r="E47" s="6">
        <v>0.55208333333333326</v>
      </c>
      <c r="F47" s="4" t="s">
        <v>18</v>
      </c>
      <c r="G47" s="4" t="s">
        <v>19</v>
      </c>
    </row>
    <row r="48" spans="1:7" x14ac:dyDescent="0.4">
      <c r="A48" s="4" t="s">
        <v>101</v>
      </c>
      <c r="B48" s="4" t="s">
        <v>13</v>
      </c>
      <c r="C48" s="4" t="s">
        <v>32</v>
      </c>
      <c r="D48" s="5">
        <v>45048</v>
      </c>
      <c r="E48" s="6">
        <v>0.45833333333333326</v>
      </c>
      <c r="F48" s="4" t="s">
        <v>10</v>
      </c>
      <c r="G48" s="4" t="s">
        <v>41</v>
      </c>
    </row>
    <row r="49" spans="1:7" x14ac:dyDescent="0.4">
      <c r="A49" s="4" t="s">
        <v>102</v>
      </c>
      <c r="B49" s="4" t="s">
        <v>31</v>
      </c>
      <c r="C49" s="4" t="s">
        <v>9</v>
      </c>
      <c r="D49" s="5">
        <v>44942</v>
      </c>
      <c r="E49" s="6">
        <v>0.65625</v>
      </c>
      <c r="F49" s="4" t="s">
        <v>26</v>
      </c>
      <c r="G49" s="4" t="s">
        <v>19</v>
      </c>
    </row>
    <row r="50" spans="1:7" x14ac:dyDescent="0.4">
      <c r="A50" s="4" t="s">
        <v>103</v>
      </c>
      <c r="B50" s="4" t="s">
        <v>40</v>
      </c>
      <c r="C50" s="4" t="s">
        <v>35</v>
      </c>
      <c r="D50" s="5">
        <v>45046</v>
      </c>
      <c r="E50" s="6">
        <v>0.64583333333333326</v>
      </c>
      <c r="F50" s="4" t="s">
        <v>18</v>
      </c>
      <c r="G50" s="4" t="s">
        <v>15</v>
      </c>
    </row>
    <row r="51" spans="1:7" x14ac:dyDescent="0.4">
      <c r="A51" s="4" t="s">
        <v>104</v>
      </c>
      <c r="B51" s="4" t="s">
        <v>28</v>
      </c>
      <c r="C51" s="4" t="s">
        <v>54</v>
      </c>
      <c r="D51" s="5">
        <v>45154</v>
      </c>
      <c r="E51" s="6">
        <v>0.625</v>
      </c>
      <c r="F51" s="4" t="s">
        <v>18</v>
      </c>
      <c r="G51" s="4" t="s">
        <v>15</v>
      </c>
    </row>
    <row r="52" spans="1:7" x14ac:dyDescent="0.4">
      <c r="A52" s="4" t="s">
        <v>105</v>
      </c>
      <c r="B52" s="4" t="s">
        <v>106</v>
      </c>
      <c r="C52" s="4" t="s">
        <v>22</v>
      </c>
      <c r="D52" s="5">
        <v>44961</v>
      </c>
      <c r="E52" s="6">
        <v>0.48958333333333326</v>
      </c>
      <c r="F52" s="4" t="s">
        <v>29</v>
      </c>
      <c r="G52" s="4" t="s">
        <v>41</v>
      </c>
    </row>
    <row r="53" spans="1:7" x14ac:dyDescent="0.4">
      <c r="A53" s="4" t="s">
        <v>107</v>
      </c>
      <c r="B53" s="4" t="s">
        <v>34</v>
      </c>
      <c r="C53" s="4" t="s">
        <v>54</v>
      </c>
      <c r="D53" s="5">
        <v>45119</v>
      </c>
      <c r="E53" s="6">
        <v>0.39583333333333326</v>
      </c>
      <c r="F53" s="4" t="s">
        <v>10</v>
      </c>
      <c r="G53" s="4" t="s">
        <v>15</v>
      </c>
    </row>
    <row r="54" spans="1:7" x14ac:dyDescent="0.4">
      <c r="A54" s="4" t="s">
        <v>108</v>
      </c>
      <c r="B54" s="4" t="s">
        <v>109</v>
      </c>
      <c r="C54" s="4" t="s">
        <v>74</v>
      </c>
      <c r="D54" s="5">
        <v>44969</v>
      </c>
      <c r="E54" s="6">
        <v>0.4375</v>
      </c>
      <c r="F54" s="4" t="s">
        <v>29</v>
      </c>
      <c r="G54" s="4" t="s">
        <v>19</v>
      </c>
    </row>
    <row r="55" spans="1:7" x14ac:dyDescent="0.4">
      <c r="A55" s="4" t="s">
        <v>110</v>
      </c>
      <c r="B55" s="4" t="s">
        <v>34</v>
      </c>
      <c r="C55" s="4" t="s">
        <v>54</v>
      </c>
      <c r="D55" s="5">
        <v>45276</v>
      </c>
      <c r="E55" s="6">
        <v>0.48958333333333326</v>
      </c>
      <c r="F55" s="4" t="s">
        <v>38</v>
      </c>
      <c r="G55" s="4" t="s">
        <v>11</v>
      </c>
    </row>
    <row r="56" spans="1:7" x14ac:dyDescent="0.4">
      <c r="A56" s="4" t="s">
        <v>111</v>
      </c>
      <c r="B56" s="4" t="s">
        <v>112</v>
      </c>
      <c r="C56" s="4" t="s">
        <v>35</v>
      </c>
      <c r="D56" s="5">
        <v>45205</v>
      </c>
      <c r="E56" s="6">
        <v>0.72916666666666674</v>
      </c>
      <c r="F56" s="4" t="s">
        <v>29</v>
      </c>
      <c r="G56" s="4" t="s">
        <v>11</v>
      </c>
    </row>
    <row r="57" spans="1:7" x14ac:dyDescent="0.4">
      <c r="A57" s="4" t="s">
        <v>113</v>
      </c>
      <c r="B57" s="4" t="s">
        <v>68</v>
      </c>
      <c r="C57" s="4" t="s">
        <v>14</v>
      </c>
      <c r="D57" s="5">
        <v>44928</v>
      </c>
      <c r="E57" s="6">
        <v>0.53125</v>
      </c>
      <c r="F57" s="4" t="s">
        <v>29</v>
      </c>
      <c r="G57" s="4" t="s">
        <v>11</v>
      </c>
    </row>
    <row r="58" spans="1:7" x14ac:dyDescent="0.4">
      <c r="A58" s="4" t="s">
        <v>114</v>
      </c>
      <c r="B58" s="4" t="s">
        <v>63</v>
      </c>
      <c r="C58" s="4" t="s">
        <v>35</v>
      </c>
      <c r="D58" s="5">
        <v>45031</v>
      </c>
      <c r="E58" s="6">
        <v>0.73958333333333326</v>
      </c>
      <c r="F58" s="4" t="s">
        <v>26</v>
      </c>
      <c r="G58" s="4" t="s">
        <v>41</v>
      </c>
    </row>
    <row r="59" spans="1:7" x14ac:dyDescent="0.4">
      <c r="A59" s="4" t="s">
        <v>115</v>
      </c>
      <c r="B59" s="4" t="s">
        <v>13</v>
      </c>
      <c r="C59" s="4" t="s">
        <v>54</v>
      </c>
      <c r="D59" s="5">
        <v>45055</v>
      </c>
      <c r="E59" s="6">
        <v>0.55208333333333326</v>
      </c>
      <c r="F59" s="4" t="s">
        <v>18</v>
      </c>
      <c r="G59" s="4" t="s">
        <v>15</v>
      </c>
    </row>
    <row r="60" spans="1:7" x14ac:dyDescent="0.4">
      <c r="A60" s="4" t="s">
        <v>116</v>
      </c>
      <c r="B60" s="4" t="s">
        <v>117</v>
      </c>
      <c r="C60" s="4" t="s">
        <v>35</v>
      </c>
      <c r="D60" s="5">
        <v>44994</v>
      </c>
      <c r="E60" s="6">
        <v>0.64583333333333326</v>
      </c>
      <c r="F60" s="4" t="s">
        <v>10</v>
      </c>
      <c r="G60" s="4" t="s">
        <v>19</v>
      </c>
    </row>
    <row r="61" spans="1:7" x14ac:dyDescent="0.4">
      <c r="A61" s="4" t="s">
        <v>118</v>
      </c>
      <c r="B61" s="4" t="s">
        <v>119</v>
      </c>
      <c r="C61" s="4" t="s">
        <v>48</v>
      </c>
      <c r="D61" s="5">
        <v>45252</v>
      </c>
      <c r="E61" s="6">
        <v>0.71875</v>
      </c>
      <c r="F61" s="4" t="s">
        <v>29</v>
      </c>
      <c r="G61" s="4" t="s">
        <v>15</v>
      </c>
    </row>
    <row r="62" spans="1:7" x14ac:dyDescent="0.4">
      <c r="A62" s="4" t="s">
        <v>120</v>
      </c>
      <c r="B62" s="4" t="s">
        <v>109</v>
      </c>
      <c r="C62" s="4" t="s">
        <v>74</v>
      </c>
      <c r="D62" s="5">
        <v>44941</v>
      </c>
      <c r="E62" s="6">
        <v>0.70833333333333326</v>
      </c>
      <c r="F62" s="4" t="s">
        <v>10</v>
      </c>
      <c r="G62" s="4" t="s">
        <v>15</v>
      </c>
    </row>
    <row r="63" spans="1:7" x14ac:dyDescent="0.4">
      <c r="A63" s="4" t="s">
        <v>121</v>
      </c>
      <c r="B63" s="4" t="s">
        <v>50</v>
      </c>
      <c r="C63" s="4" t="s">
        <v>9</v>
      </c>
      <c r="D63" s="5">
        <v>45091</v>
      </c>
      <c r="E63" s="6">
        <v>0.63541666666666674</v>
      </c>
      <c r="F63" s="4" t="s">
        <v>29</v>
      </c>
      <c r="G63" s="4" t="s">
        <v>15</v>
      </c>
    </row>
    <row r="64" spans="1:7" x14ac:dyDescent="0.4">
      <c r="A64" s="4" t="s">
        <v>122</v>
      </c>
      <c r="B64" s="4" t="s">
        <v>123</v>
      </c>
      <c r="C64" s="4" t="s">
        <v>14</v>
      </c>
      <c r="D64" s="5">
        <v>45106</v>
      </c>
      <c r="E64" s="6">
        <v>0.375</v>
      </c>
      <c r="F64" s="4" t="s">
        <v>38</v>
      </c>
      <c r="G64" s="4" t="s">
        <v>11</v>
      </c>
    </row>
    <row r="65" spans="1:7" x14ac:dyDescent="0.4">
      <c r="A65" s="4" t="s">
        <v>124</v>
      </c>
      <c r="B65" s="4" t="s">
        <v>125</v>
      </c>
      <c r="C65" s="4" t="s">
        <v>22</v>
      </c>
      <c r="D65" s="5">
        <v>45077</v>
      </c>
      <c r="E65" s="6">
        <v>0.35416666666666674</v>
      </c>
      <c r="F65" s="4" t="s">
        <v>29</v>
      </c>
      <c r="G65" s="4" t="s">
        <v>19</v>
      </c>
    </row>
    <row r="66" spans="1:7" x14ac:dyDescent="0.4">
      <c r="A66" s="4" t="s">
        <v>126</v>
      </c>
      <c r="B66" s="4" t="s">
        <v>86</v>
      </c>
      <c r="C66" s="4" t="s">
        <v>59</v>
      </c>
      <c r="D66" s="5">
        <v>45040</v>
      </c>
      <c r="E66" s="6">
        <v>0.65625</v>
      </c>
      <c r="F66" s="4" t="s">
        <v>26</v>
      </c>
      <c r="G66" s="4" t="s">
        <v>19</v>
      </c>
    </row>
    <row r="67" spans="1:7" x14ac:dyDescent="0.4">
      <c r="A67" s="4" t="s">
        <v>127</v>
      </c>
      <c r="B67" s="4" t="s">
        <v>86</v>
      </c>
      <c r="C67" s="4" t="s">
        <v>9</v>
      </c>
      <c r="D67" s="5">
        <v>45056</v>
      </c>
      <c r="E67" s="6">
        <v>0.48958333333333326</v>
      </c>
      <c r="F67" s="4" t="s">
        <v>18</v>
      </c>
      <c r="G67" s="4" t="s">
        <v>15</v>
      </c>
    </row>
    <row r="68" spans="1:7" x14ac:dyDescent="0.4">
      <c r="A68" s="4" t="s">
        <v>128</v>
      </c>
      <c r="B68" s="4" t="s">
        <v>129</v>
      </c>
      <c r="C68" s="4" t="s">
        <v>59</v>
      </c>
      <c r="D68" s="5">
        <v>45148</v>
      </c>
      <c r="E68" s="6">
        <v>0.45833333333333326</v>
      </c>
      <c r="F68" s="4" t="s">
        <v>38</v>
      </c>
      <c r="G68" s="4" t="s">
        <v>11</v>
      </c>
    </row>
    <row r="69" spans="1:7" x14ac:dyDescent="0.4">
      <c r="A69" s="4" t="s">
        <v>130</v>
      </c>
      <c r="B69" s="4" t="s">
        <v>56</v>
      </c>
      <c r="C69" s="4" t="s">
        <v>74</v>
      </c>
      <c r="D69" s="5">
        <v>44999</v>
      </c>
      <c r="E69" s="6">
        <v>0.625</v>
      </c>
      <c r="F69" s="4" t="s">
        <v>29</v>
      </c>
      <c r="G69" s="4" t="s">
        <v>11</v>
      </c>
    </row>
    <row r="70" spans="1:7" x14ac:dyDescent="0.4">
      <c r="A70" s="4" t="s">
        <v>131</v>
      </c>
      <c r="B70" s="4" t="s">
        <v>50</v>
      </c>
      <c r="C70" s="4" t="s">
        <v>14</v>
      </c>
      <c r="D70" s="5">
        <v>45014</v>
      </c>
      <c r="E70" s="6">
        <v>0.64583333333333326</v>
      </c>
      <c r="F70" s="4" t="s">
        <v>10</v>
      </c>
      <c r="G70" s="4" t="s">
        <v>19</v>
      </c>
    </row>
    <row r="71" spans="1:7" x14ac:dyDescent="0.4">
      <c r="A71" s="4" t="s">
        <v>132</v>
      </c>
      <c r="B71" s="4" t="s">
        <v>47</v>
      </c>
      <c r="C71" s="4" t="s">
        <v>25</v>
      </c>
      <c r="D71" s="5">
        <v>45164</v>
      </c>
      <c r="E71" s="6">
        <v>0.70833333333333326</v>
      </c>
      <c r="F71" s="4" t="s">
        <v>38</v>
      </c>
      <c r="G71" s="4" t="s">
        <v>11</v>
      </c>
    </row>
    <row r="72" spans="1:7" x14ac:dyDescent="0.4">
      <c r="A72" s="4" t="s">
        <v>133</v>
      </c>
      <c r="B72" s="4" t="s">
        <v>31</v>
      </c>
      <c r="C72" s="4" t="s">
        <v>22</v>
      </c>
      <c r="D72" s="5">
        <v>44952</v>
      </c>
      <c r="E72" s="6">
        <v>0.70833333333333326</v>
      </c>
      <c r="F72" s="4" t="s">
        <v>38</v>
      </c>
      <c r="G72" s="4" t="s">
        <v>11</v>
      </c>
    </row>
    <row r="73" spans="1:7" x14ac:dyDescent="0.4">
      <c r="A73" s="4" t="s">
        <v>134</v>
      </c>
      <c r="B73" s="4" t="s">
        <v>86</v>
      </c>
      <c r="C73" s="4" t="s">
        <v>48</v>
      </c>
      <c r="D73" s="5">
        <v>45089</v>
      </c>
      <c r="E73" s="6">
        <v>0.5625</v>
      </c>
      <c r="F73" s="4" t="s">
        <v>29</v>
      </c>
      <c r="G73" s="4" t="s">
        <v>11</v>
      </c>
    </row>
    <row r="74" spans="1:7" x14ac:dyDescent="0.4">
      <c r="A74" s="4" t="s">
        <v>135</v>
      </c>
      <c r="B74" s="4" t="s">
        <v>24</v>
      </c>
      <c r="C74" s="4" t="s">
        <v>25</v>
      </c>
      <c r="D74" s="5">
        <v>45284</v>
      </c>
      <c r="E74" s="6">
        <v>0.625</v>
      </c>
      <c r="F74" s="4" t="s">
        <v>38</v>
      </c>
      <c r="G74" s="4" t="s">
        <v>41</v>
      </c>
    </row>
    <row r="75" spans="1:7" x14ac:dyDescent="0.4">
      <c r="A75" s="4" t="s">
        <v>136</v>
      </c>
      <c r="B75" s="4" t="s">
        <v>92</v>
      </c>
      <c r="C75" s="4" t="s">
        <v>74</v>
      </c>
      <c r="D75" s="5">
        <v>45130</v>
      </c>
      <c r="E75" s="6">
        <v>0.5625</v>
      </c>
      <c r="F75" s="4" t="s">
        <v>10</v>
      </c>
      <c r="G75" s="4" t="s">
        <v>15</v>
      </c>
    </row>
    <row r="76" spans="1:7" x14ac:dyDescent="0.4">
      <c r="A76" s="4" t="s">
        <v>137</v>
      </c>
      <c r="B76" s="4" t="s">
        <v>129</v>
      </c>
      <c r="C76" s="4" t="s">
        <v>9</v>
      </c>
      <c r="D76" s="5">
        <v>45054</v>
      </c>
      <c r="E76" s="6">
        <v>0.58333333333333326</v>
      </c>
      <c r="F76" s="4" t="s">
        <v>38</v>
      </c>
      <c r="G76" s="4" t="s">
        <v>19</v>
      </c>
    </row>
    <row r="77" spans="1:7" x14ac:dyDescent="0.4">
      <c r="A77" s="4" t="s">
        <v>138</v>
      </c>
      <c r="B77" s="4" t="s">
        <v>139</v>
      </c>
      <c r="C77" s="4" t="s">
        <v>48</v>
      </c>
      <c r="D77" s="5">
        <v>45257</v>
      </c>
      <c r="E77" s="6">
        <v>0.5</v>
      </c>
      <c r="F77" s="4" t="s">
        <v>10</v>
      </c>
      <c r="G77" s="4" t="s">
        <v>19</v>
      </c>
    </row>
    <row r="78" spans="1:7" x14ac:dyDescent="0.4">
      <c r="A78" s="4" t="s">
        <v>140</v>
      </c>
      <c r="B78" s="4" t="s">
        <v>45</v>
      </c>
      <c r="C78" s="4" t="s">
        <v>35</v>
      </c>
      <c r="D78" s="5">
        <v>45274</v>
      </c>
      <c r="E78" s="6">
        <v>0.71875</v>
      </c>
      <c r="F78" s="4" t="s">
        <v>29</v>
      </c>
      <c r="G78" s="4" t="s">
        <v>41</v>
      </c>
    </row>
    <row r="79" spans="1:7" x14ac:dyDescent="0.4">
      <c r="A79" s="4" t="s">
        <v>141</v>
      </c>
      <c r="B79" s="4" t="s">
        <v>142</v>
      </c>
      <c r="C79" s="4" t="s">
        <v>54</v>
      </c>
      <c r="D79" s="5">
        <v>45186</v>
      </c>
      <c r="E79" s="6">
        <v>0.46875</v>
      </c>
      <c r="F79" s="4" t="s">
        <v>18</v>
      </c>
      <c r="G79" s="4" t="s">
        <v>15</v>
      </c>
    </row>
    <row r="80" spans="1:7" x14ac:dyDescent="0.4">
      <c r="A80" s="4" t="s">
        <v>143</v>
      </c>
      <c r="B80" s="4" t="s">
        <v>50</v>
      </c>
      <c r="C80" s="4" t="s">
        <v>48</v>
      </c>
      <c r="D80" s="5">
        <v>45286</v>
      </c>
      <c r="E80" s="6">
        <v>0.58333333333333326</v>
      </c>
      <c r="F80" s="4" t="s">
        <v>38</v>
      </c>
      <c r="G80" s="4" t="s">
        <v>19</v>
      </c>
    </row>
    <row r="81" spans="1:7" x14ac:dyDescent="0.4">
      <c r="A81" s="4" t="s">
        <v>144</v>
      </c>
      <c r="B81" s="4" t="s">
        <v>97</v>
      </c>
      <c r="C81" s="4" t="s">
        <v>74</v>
      </c>
      <c r="D81" s="5">
        <v>45103</v>
      </c>
      <c r="E81" s="6">
        <v>0.35416666666666674</v>
      </c>
      <c r="F81" s="4" t="s">
        <v>18</v>
      </c>
      <c r="G81" s="4" t="s">
        <v>11</v>
      </c>
    </row>
    <row r="82" spans="1:7" x14ac:dyDescent="0.4">
      <c r="A82" s="4" t="s">
        <v>145</v>
      </c>
      <c r="B82" s="4" t="s">
        <v>72</v>
      </c>
      <c r="C82" s="4" t="s">
        <v>32</v>
      </c>
      <c r="D82" s="5">
        <v>44932</v>
      </c>
      <c r="E82" s="6">
        <v>0.5625</v>
      </c>
      <c r="F82" s="4" t="s">
        <v>10</v>
      </c>
      <c r="G82" s="4" t="s">
        <v>19</v>
      </c>
    </row>
    <row r="83" spans="1:7" x14ac:dyDescent="0.4">
      <c r="A83" s="4" t="s">
        <v>146</v>
      </c>
      <c r="B83" s="4" t="s">
        <v>112</v>
      </c>
      <c r="C83" s="4" t="s">
        <v>54</v>
      </c>
      <c r="D83" s="5">
        <v>44946</v>
      </c>
      <c r="E83" s="6">
        <v>0.44791666666666674</v>
      </c>
      <c r="F83" s="4" t="s">
        <v>38</v>
      </c>
      <c r="G83" s="4" t="s">
        <v>11</v>
      </c>
    </row>
    <row r="84" spans="1:7" x14ac:dyDescent="0.4">
      <c r="A84" s="4" t="s">
        <v>147</v>
      </c>
      <c r="B84" s="4" t="s">
        <v>123</v>
      </c>
      <c r="C84" s="4" t="s">
        <v>59</v>
      </c>
      <c r="D84" s="5">
        <v>45237</v>
      </c>
      <c r="E84" s="6">
        <v>0.52083333333333326</v>
      </c>
      <c r="F84" s="4" t="s">
        <v>26</v>
      </c>
      <c r="G84" s="4" t="s">
        <v>41</v>
      </c>
    </row>
    <row r="85" spans="1:7" x14ac:dyDescent="0.4">
      <c r="A85" s="4" t="s">
        <v>148</v>
      </c>
      <c r="B85" s="4" t="s">
        <v>125</v>
      </c>
      <c r="C85" s="4" t="s">
        <v>22</v>
      </c>
      <c r="D85" s="5">
        <v>45077</v>
      </c>
      <c r="E85" s="6">
        <v>0.66666666666666674</v>
      </c>
      <c r="F85" s="4" t="s">
        <v>18</v>
      </c>
      <c r="G85" s="4" t="s">
        <v>11</v>
      </c>
    </row>
    <row r="86" spans="1:7" x14ac:dyDescent="0.4">
      <c r="A86" s="4" t="s">
        <v>149</v>
      </c>
      <c r="B86" s="4" t="s">
        <v>90</v>
      </c>
      <c r="C86" s="4" t="s">
        <v>59</v>
      </c>
      <c r="D86" s="5">
        <v>44975</v>
      </c>
      <c r="E86" s="6">
        <v>0.67708333333333326</v>
      </c>
      <c r="F86" s="4" t="s">
        <v>38</v>
      </c>
      <c r="G86" s="4" t="s">
        <v>19</v>
      </c>
    </row>
    <row r="87" spans="1:7" x14ac:dyDescent="0.4">
      <c r="A87" s="4" t="s">
        <v>150</v>
      </c>
      <c r="B87" s="4" t="s">
        <v>151</v>
      </c>
      <c r="C87" s="4" t="s">
        <v>48</v>
      </c>
      <c r="D87" s="5">
        <v>45228</v>
      </c>
      <c r="E87" s="6">
        <v>0.45833333333333326</v>
      </c>
      <c r="F87" s="4" t="s">
        <v>18</v>
      </c>
      <c r="G87" s="4" t="s">
        <v>19</v>
      </c>
    </row>
    <row r="88" spans="1:7" x14ac:dyDescent="0.4">
      <c r="A88" s="4" t="s">
        <v>152</v>
      </c>
      <c r="B88" s="4" t="s">
        <v>52</v>
      </c>
      <c r="C88" s="4" t="s">
        <v>59</v>
      </c>
      <c r="D88" s="5">
        <v>45218</v>
      </c>
      <c r="E88" s="6">
        <v>0.51041666666666674</v>
      </c>
      <c r="F88" s="4" t="s">
        <v>38</v>
      </c>
      <c r="G88" s="4" t="s">
        <v>19</v>
      </c>
    </row>
    <row r="89" spans="1:7" x14ac:dyDescent="0.4">
      <c r="A89" s="4" t="s">
        <v>153</v>
      </c>
      <c r="B89" s="4" t="s">
        <v>154</v>
      </c>
      <c r="C89" s="4" t="s">
        <v>74</v>
      </c>
      <c r="D89" s="5">
        <v>45048</v>
      </c>
      <c r="E89" s="6">
        <v>0.6875</v>
      </c>
      <c r="F89" s="4" t="s">
        <v>29</v>
      </c>
      <c r="G89" s="4" t="s">
        <v>41</v>
      </c>
    </row>
    <row r="90" spans="1:7" x14ac:dyDescent="0.4">
      <c r="A90" s="4" t="s">
        <v>155</v>
      </c>
      <c r="B90" s="4" t="s">
        <v>45</v>
      </c>
      <c r="C90" s="4" t="s">
        <v>35</v>
      </c>
      <c r="D90" s="5">
        <v>44971</v>
      </c>
      <c r="E90" s="6">
        <v>0.45833333333333326</v>
      </c>
      <c r="F90" s="4" t="s">
        <v>18</v>
      </c>
      <c r="G90" s="4" t="s">
        <v>41</v>
      </c>
    </row>
    <row r="91" spans="1:7" x14ac:dyDescent="0.4">
      <c r="A91" s="4" t="s">
        <v>156</v>
      </c>
      <c r="B91" s="4" t="s">
        <v>52</v>
      </c>
      <c r="C91" s="4" t="s">
        <v>9</v>
      </c>
      <c r="D91" s="5">
        <v>45078</v>
      </c>
      <c r="E91" s="6">
        <v>0.72916666666666674</v>
      </c>
      <c r="F91" s="4" t="s">
        <v>26</v>
      </c>
      <c r="G91" s="4" t="s">
        <v>15</v>
      </c>
    </row>
    <row r="92" spans="1:7" x14ac:dyDescent="0.4">
      <c r="A92" s="4" t="s">
        <v>157</v>
      </c>
      <c r="B92" s="4" t="s">
        <v>92</v>
      </c>
      <c r="C92" s="4" t="s">
        <v>22</v>
      </c>
      <c r="D92" s="5">
        <v>45088</v>
      </c>
      <c r="E92" s="6">
        <v>0.55208333333333326</v>
      </c>
      <c r="F92" s="4" t="s">
        <v>26</v>
      </c>
      <c r="G92" s="4" t="s">
        <v>19</v>
      </c>
    </row>
    <row r="93" spans="1:7" x14ac:dyDescent="0.4">
      <c r="A93" s="4" t="s">
        <v>158</v>
      </c>
      <c r="B93" s="4" t="s">
        <v>52</v>
      </c>
      <c r="C93" s="4" t="s">
        <v>59</v>
      </c>
      <c r="D93" s="5">
        <v>44956</v>
      </c>
      <c r="E93" s="6">
        <v>0.59375</v>
      </c>
      <c r="F93" s="4" t="s">
        <v>10</v>
      </c>
      <c r="G93" s="4" t="s">
        <v>11</v>
      </c>
    </row>
    <row r="94" spans="1:7" x14ac:dyDescent="0.4">
      <c r="A94" s="4" t="s">
        <v>159</v>
      </c>
      <c r="B94" s="4" t="s">
        <v>8</v>
      </c>
      <c r="C94" s="4" t="s">
        <v>59</v>
      </c>
      <c r="D94" s="5">
        <v>45025</v>
      </c>
      <c r="E94" s="6">
        <v>0.39583333333333326</v>
      </c>
      <c r="F94" s="4" t="s">
        <v>38</v>
      </c>
      <c r="G94" s="4" t="s">
        <v>41</v>
      </c>
    </row>
    <row r="95" spans="1:7" x14ac:dyDescent="0.4">
      <c r="A95" s="4" t="s">
        <v>160</v>
      </c>
      <c r="B95" s="4" t="s">
        <v>161</v>
      </c>
      <c r="C95" s="4" t="s">
        <v>48</v>
      </c>
      <c r="D95" s="5">
        <v>45024</v>
      </c>
      <c r="E95" s="6">
        <v>0.36458333333333326</v>
      </c>
      <c r="F95" s="4" t="s">
        <v>18</v>
      </c>
      <c r="G95" s="4" t="s">
        <v>19</v>
      </c>
    </row>
    <row r="96" spans="1:7" x14ac:dyDescent="0.4">
      <c r="A96" s="4" t="s">
        <v>162</v>
      </c>
      <c r="B96" s="4" t="s">
        <v>163</v>
      </c>
      <c r="C96" s="4" t="s">
        <v>9</v>
      </c>
      <c r="D96" s="5">
        <v>45055</v>
      </c>
      <c r="E96" s="6">
        <v>0.42708333333333326</v>
      </c>
      <c r="F96" s="4" t="s">
        <v>10</v>
      </c>
      <c r="G96" s="4" t="s">
        <v>19</v>
      </c>
    </row>
    <row r="97" spans="1:7" x14ac:dyDescent="0.4">
      <c r="A97" s="4" t="s">
        <v>164</v>
      </c>
      <c r="B97" s="4" t="s">
        <v>106</v>
      </c>
      <c r="C97" s="4" t="s">
        <v>25</v>
      </c>
      <c r="D97" s="5">
        <v>45114</v>
      </c>
      <c r="E97" s="6">
        <v>0.625</v>
      </c>
      <c r="F97" s="4" t="s">
        <v>18</v>
      </c>
      <c r="G97" s="4" t="s">
        <v>41</v>
      </c>
    </row>
    <row r="98" spans="1:7" x14ac:dyDescent="0.4">
      <c r="A98" s="4" t="s">
        <v>165</v>
      </c>
      <c r="B98" s="4" t="s">
        <v>123</v>
      </c>
      <c r="C98" s="4" t="s">
        <v>59</v>
      </c>
      <c r="D98" s="5">
        <v>45052</v>
      </c>
      <c r="E98" s="6">
        <v>0.61458333333333326</v>
      </c>
      <c r="F98" s="4" t="s">
        <v>38</v>
      </c>
      <c r="G98" s="4" t="s">
        <v>15</v>
      </c>
    </row>
    <row r="99" spans="1:7" x14ac:dyDescent="0.4">
      <c r="A99" s="4" t="s">
        <v>166</v>
      </c>
      <c r="B99" s="4" t="s">
        <v>28</v>
      </c>
      <c r="C99" s="4" t="s">
        <v>74</v>
      </c>
      <c r="D99" s="5">
        <v>45002</v>
      </c>
      <c r="E99" s="6">
        <v>0.54166666666666674</v>
      </c>
      <c r="F99" s="4" t="s">
        <v>26</v>
      </c>
      <c r="G99" s="4" t="s">
        <v>41</v>
      </c>
    </row>
    <row r="100" spans="1:7" x14ac:dyDescent="0.4">
      <c r="A100" s="4" t="s">
        <v>167</v>
      </c>
      <c r="B100" s="4" t="s">
        <v>168</v>
      </c>
      <c r="C100" s="4" t="s">
        <v>32</v>
      </c>
      <c r="D100" s="5">
        <v>45111</v>
      </c>
      <c r="E100" s="6">
        <v>0.625</v>
      </c>
      <c r="F100" s="4" t="s">
        <v>29</v>
      </c>
      <c r="G100" s="4" t="s">
        <v>41</v>
      </c>
    </row>
    <row r="101" spans="1:7" x14ac:dyDescent="0.4">
      <c r="A101" s="4" t="s">
        <v>169</v>
      </c>
      <c r="B101" s="4" t="s">
        <v>45</v>
      </c>
      <c r="C101" s="4" t="s">
        <v>22</v>
      </c>
      <c r="D101" s="5">
        <v>44987</v>
      </c>
      <c r="E101" s="6">
        <v>0.33333333333333326</v>
      </c>
      <c r="F101" s="4" t="s">
        <v>26</v>
      </c>
      <c r="G101" s="4" t="s">
        <v>11</v>
      </c>
    </row>
    <row r="102" spans="1:7" x14ac:dyDescent="0.4">
      <c r="A102" s="4" t="s">
        <v>170</v>
      </c>
      <c r="B102" s="4" t="s">
        <v>84</v>
      </c>
      <c r="C102" s="4" t="s">
        <v>59</v>
      </c>
      <c r="D102" s="5">
        <v>45190</v>
      </c>
      <c r="E102" s="6">
        <v>0.55208333333333326</v>
      </c>
      <c r="F102" s="4" t="s">
        <v>10</v>
      </c>
      <c r="G102" s="4" t="s">
        <v>11</v>
      </c>
    </row>
    <row r="103" spans="1:7" x14ac:dyDescent="0.4">
      <c r="A103" s="4" t="s">
        <v>171</v>
      </c>
      <c r="B103" s="4" t="s">
        <v>21</v>
      </c>
      <c r="C103" s="4" t="s">
        <v>74</v>
      </c>
      <c r="D103" s="5">
        <v>45224</v>
      </c>
      <c r="E103" s="6">
        <v>0.375</v>
      </c>
      <c r="F103" s="4" t="s">
        <v>29</v>
      </c>
      <c r="G103" s="4" t="s">
        <v>15</v>
      </c>
    </row>
    <row r="104" spans="1:7" x14ac:dyDescent="0.4">
      <c r="A104" s="4" t="s">
        <v>172</v>
      </c>
      <c r="B104" s="4" t="s">
        <v>81</v>
      </c>
      <c r="C104" s="4" t="s">
        <v>74</v>
      </c>
      <c r="D104" s="5">
        <v>44950</v>
      </c>
      <c r="E104" s="6">
        <v>0.35416666666666674</v>
      </c>
      <c r="F104" s="4" t="s">
        <v>10</v>
      </c>
      <c r="G104" s="4" t="s">
        <v>19</v>
      </c>
    </row>
    <row r="105" spans="1:7" x14ac:dyDescent="0.4">
      <c r="A105" s="4" t="s">
        <v>173</v>
      </c>
      <c r="B105" s="4" t="s">
        <v>84</v>
      </c>
      <c r="C105" s="4" t="s">
        <v>22</v>
      </c>
      <c r="D105" s="5">
        <v>45034</v>
      </c>
      <c r="E105" s="6">
        <v>0.36458333333333326</v>
      </c>
      <c r="F105" s="4" t="s">
        <v>38</v>
      </c>
      <c r="G105" s="4" t="s">
        <v>41</v>
      </c>
    </row>
    <row r="106" spans="1:7" x14ac:dyDescent="0.4">
      <c r="A106" s="4" t="s">
        <v>174</v>
      </c>
      <c r="B106" s="4" t="s">
        <v>92</v>
      </c>
      <c r="C106" s="4" t="s">
        <v>25</v>
      </c>
      <c r="D106" s="5">
        <v>45152</v>
      </c>
      <c r="E106" s="6">
        <v>0.66666666666666674</v>
      </c>
      <c r="F106" s="4" t="s">
        <v>29</v>
      </c>
      <c r="G106" s="4" t="s">
        <v>15</v>
      </c>
    </row>
    <row r="107" spans="1:7" x14ac:dyDescent="0.4">
      <c r="A107" s="4" t="s">
        <v>175</v>
      </c>
      <c r="B107" s="4" t="s">
        <v>56</v>
      </c>
      <c r="C107" s="4" t="s">
        <v>74</v>
      </c>
      <c r="D107" s="5">
        <v>45228</v>
      </c>
      <c r="E107" s="6">
        <v>0.46875</v>
      </c>
      <c r="F107" s="4" t="s">
        <v>10</v>
      </c>
      <c r="G107" s="4" t="s">
        <v>11</v>
      </c>
    </row>
    <row r="108" spans="1:7" x14ac:dyDescent="0.4">
      <c r="A108" s="4" t="s">
        <v>176</v>
      </c>
      <c r="B108" s="4" t="s">
        <v>177</v>
      </c>
      <c r="C108" s="4" t="s">
        <v>32</v>
      </c>
      <c r="D108" s="5">
        <v>45033</v>
      </c>
      <c r="E108" s="6">
        <v>0.57291666666666674</v>
      </c>
      <c r="F108" s="4" t="s">
        <v>38</v>
      </c>
      <c r="G108" s="4" t="s">
        <v>41</v>
      </c>
    </row>
    <row r="109" spans="1:7" x14ac:dyDescent="0.4">
      <c r="A109" s="4" t="s">
        <v>178</v>
      </c>
      <c r="B109" s="4" t="s">
        <v>109</v>
      </c>
      <c r="C109" s="4" t="s">
        <v>74</v>
      </c>
      <c r="D109" s="5">
        <v>45037</v>
      </c>
      <c r="E109" s="6">
        <v>0.625</v>
      </c>
      <c r="F109" s="4" t="s">
        <v>26</v>
      </c>
      <c r="G109" s="4" t="s">
        <v>19</v>
      </c>
    </row>
    <row r="110" spans="1:7" x14ac:dyDescent="0.4">
      <c r="A110" s="4" t="s">
        <v>179</v>
      </c>
      <c r="B110" s="4" t="s">
        <v>125</v>
      </c>
      <c r="C110" s="4" t="s">
        <v>74</v>
      </c>
      <c r="D110" s="5">
        <v>45136</v>
      </c>
      <c r="E110" s="6">
        <v>0.58333333333333326</v>
      </c>
      <c r="F110" s="4" t="s">
        <v>38</v>
      </c>
      <c r="G110" s="4" t="s">
        <v>11</v>
      </c>
    </row>
    <row r="111" spans="1:7" x14ac:dyDescent="0.4">
      <c r="A111" s="4" t="s">
        <v>180</v>
      </c>
      <c r="B111" s="4" t="s">
        <v>68</v>
      </c>
      <c r="C111" s="4" t="s">
        <v>74</v>
      </c>
      <c r="D111" s="5">
        <v>45126</v>
      </c>
      <c r="E111" s="6">
        <v>0.60416666666666674</v>
      </c>
      <c r="F111" s="4" t="s">
        <v>18</v>
      </c>
      <c r="G111" s="4" t="s">
        <v>11</v>
      </c>
    </row>
    <row r="112" spans="1:7" x14ac:dyDescent="0.4">
      <c r="A112" s="4" t="s">
        <v>181</v>
      </c>
      <c r="B112" s="4" t="s">
        <v>125</v>
      </c>
      <c r="C112" s="4" t="s">
        <v>35</v>
      </c>
      <c r="D112" s="5">
        <v>45068</v>
      </c>
      <c r="E112" s="6">
        <v>0.64583333333333326</v>
      </c>
      <c r="F112" s="4" t="s">
        <v>38</v>
      </c>
      <c r="G112" s="4" t="s">
        <v>11</v>
      </c>
    </row>
    <row r="113" spans="1:7" x14ac:dyDescent="0.4">
      <c r="A113" s="4" t="s">
        <v>182</v>
      </c>
      <c r="B113" s="4" t="s">
        <v>17</v>
      </c>
      <c r="C113" s="4" t="s">
        <v>35</v>
      </c>
      <c r="D113" s="5">
        <v>44937</v>
      </c>
      <c r="E113" s="6">
        <v>0.33333333333333326</v>
      </c>
      <c r="F113" s="4" t="s">
        <v>38</v>
      </c>
      <c r="G113" s="4" t="s">
        <v>15</v>
      </c>
    </row>
    <row r="114" spans="1:7" x14ac:dyDescent="0.4">
      <c r="A114" s="4" t="s">
        <v>183</v>
      </c>
      <c r="B114" s="4" t="s">
        <v>84</v>
      </c>
      <c r="C114" s="4" t="s">
        <v>25</v>
      </c>
      <c r="D114" s="5">
        <v>45254</v>
      </c>
      <c r="E114" s="6">
        <v>0.64583333333333326</v>
      </c>
      <c r="F114" s="4" t="s">
        <v>18</v>
      </c>
      <c r="G114" s="4" t="s">
        <v>19</v>
      </c>
    </row>
    <row r="115" spans="1:7" x14ac:dyDescent="0.4">
      <c r="A115" s="4" t="s">
        <v>184</v>
      </c>
      <c r="B115" s="4" t="s">
        <v>185</v>
      </c>
      <c r="C115" s="4" t="s">
        <v>59</v>
      </c>
      <c r="D115" s="5">
        <v>45146</v>
      </c>
      <c r="E115" s="6">
        <v>0.375</v>
      </c>
      <c r="F115" s="4" t="s">
        <v>10</v>
      </c>
      <c r="G115" s="4" t="s">
        <v>41</v>
      </c>
    </row>
    <row r="116" spans="1:7" x14ac:dyDescent="0.4">
      <c r="A116" s="4" t="s">
        <v>186</v>
      </c>
      <c r="B116" s="4" t="s">
        <v>68</v>
      </c>
      <c r="C116" s="4" t="s">
        <v>74</v>
      </c>
      <c r="D116" s="5">
        <v>45224</v>
      </c>
      <c r="E116" s="6">
        <v>0.4375</v>
      </c>
      <c r="F116" s="4" t="s">
        <v>10</v>
      </c>
      <c r="G116" s="4" t="s">
        <v>15</v>
      </c>
    </row>
    <row r="117" spans="1:7" x14ac:dyDescent="0.4">
      <c r="A117" s="4" t="s">
        <v>187</v>
      </c>
      <c r="B117" s="4" t="s">
        <v>37</v>
      </c>
      <c r="C117" s="4" t="s">
        <v>9</v>
      </c>
      <c r="D117" s="5">
        <v>45114</v>
      </c>
      <c r="E117" s="6">
        <v>0.38541666666666674</v>
      </c>
      <c r="F117" s="4" t="s">
        <v>38</v>
      </c>
      <c r="G117" s="4" t="s">
        <v>15</v>
      </c>
    </row>
    <row r="118" spans="1:7" x14ac:dyDescent="0.4">
      <c r="A118" s="4" t="s">
        <v>188</v>
      </c>
      <c r="B118" s="4" t="s">
        <v>13</v>
      </c>
      <c r="C118" s="4" t="s">
        <v>59</v>
      </c>
      <c r="D118" s="5">
        <v>45097</v>
      </c>
      <c r="E118" s="6">
        <v>0.57291666666666674</v>
      </c>
      <c r="F118" s="4" t="s">
        <v>18</v>
      </c>
      <c r="G118" s="4" t="s">
        <v>15</v>
      </c>
    </row>
    <row r="119" spans="1:7" x14ac:dyDescent="0.4">
      <c r="A119" s="4" t="s">
        <v>189</v>
      </c>
      <c r="B119" s="4" t="s">
        <v>109</v>
      </c>
      <c r="C119" s="4" t="s">
        <v>25</v>
      </c>
      <c r="D119" s="5">
        <v>45147</v>
      </c>
      <c r="E119" s="6">
        <v>0.34375</v>
      </c>
      <c r="F119" s="4" t="s">
        <v>18</v>
      </c>
      <c r="G119" s="4" t="s">
        <v>11</v>
      </c>
    </row>
    <row r="120" spans="1:7" x14ac:dyDescent="0.4">
      <c r="A120" s="4" t="s">
        <v>190</v>
      </c>
      <c r="B120" s="4" t="s">
        <v>90</v>
      </c>
      <c r="C120" s="4" t="s">
        <v>14</v>
      </c>
      <c r="D120" s="5">
        <v>45278</v>
      </c>
      <c r="E120" s="6">
        <v>0.5625</v>
      </c>
      <c r="F120" s="4" t="s">
        <v>26</v>
      </c>
      <c r="G120" s="4" t="s">
        <v>19</v>
      </c>
    </row>
    <row r="121" spans="1:7" x14ac:dyDescent="0.4">
      <c r="A121" s="4" t="s">
        <v>191</v>
      </c>
      <c r="B121" s="4" t="s">
        <v>13</v>
      </c>
      <c r="C121" s="4" t="s">
        <v>59</v>
      </c>
      <c r="D121" s="5">
        <v>45268</v>
      </c>
      <c r="E121" s="6">
        <v>0.45833333333333326</v>
      </c>
      <c r="F121" s="4" t="s">
        <v>10</v>
      </c>
      <c r="G121" s="4" t="s">
        <v>15</v>
      </c>
    </row>
    <row r="122" spans="1:7" x14ac:dyDescent="0.4">
      <c r="A122" s="4" t="s">
        <v>192</v>
      </c>
      <c r="B122" s="4" t="s">
        <v>56</v>
      </c>
      <c r="C122" s="4" t="s">
        <v>59</v>
      </c>
      <c r="D122" s="5">
        <v>45023</v>
      </c>
      <c r="E122" s="6">
        <v>0.625</v>
      </c>
      <c r="F122" s="4" t="s">
        <v>29</v>
      </c>
      <c r="G122" s="4" t="s">
        <v>41</v>
      </c>
    </row>
    <row r="123" spans="1:7" x14ac:dyDescent="0.4">
      <c r="A123" s="4" t="s">
        <v>193</v>
      </c>
      <c r="B123" s="4" t="s">
        <v>50</v>
      </c>
      <c r="C123" s="4" t="s">
        <v>54</v>
      </c>
      <c r="D123" s="5">
        <v>45118</v>
      </c>
      <c r="E123" s="6">
        <v>0.60416666666666674</v>
      </c>
      <c r="F123" s="4" t="s">
        <v>10</v>
      </c>
      <c r="G123" s="4" t="s">
        <v>19</v>
      </c>
    </row>
    <row r="124" spans="1:7" x14ac:dyDescent="0.4">
      <c r="A124" s="4" t="s">
        <v>194</v>
      </c>
      <c r="B124" s="4" t="s">
        <v>68</v>
      </c>
      <c r="C124" s="4" t="s">
        <v>48</v>
      </c>
      <c r="D124" s="5">
        <v>44985</v>
      </c>
      <c r="E124" s="6">
        <v>0.44791666666666674</v>
      </c>
      <c r="F124" s="4" t="s">
        <v>10</v>
      </c>
      <c r="G124" s="4" t="s">
        <v>41</v>
      </c>
    </row>
    <row r="125" spans="1:7" x14ac:dyDescent="0.4">
      <c r="A125" s="4" t="s">
        <v>195</v>
      </c>
      <c r="B125" s="4" t="s">
        <v>142</v>
      </c>
      <c r="C125" s="4" t="s">
        <v>54</v>
      </c>
      <c r="D125" s="5">
        <v>45001</v>
      </c>
      <c r="E125" s="6">
        <v>0.71875</v>
      </c>
      <c r="F125" s="4" t="s">
        <v>26</v>
      </c>
      <c r="G125" s="4" t="s">
        <v>19</v>
      </c>
    </row>
    <row r="126" spans="1:7" x14ac:dyDescent="0.4">
      <c r="A126" s="4" t="s">
        <v>196</v>
      </c>
      <c r="B126" s="4" t="s">
        <v>90</v>
      </c>
      <c r="C126" s="4" t="s">
        <v>32</v>
      </c>
      <c r="D126" s="5">
        <v>44975</v>
      </c>
      <c r="E126" s="6">
        <v>0.42708333333333326</v>
      </c>
      <c r="F126" s="4" t="s">
        <v>29</v>
      </c>
      <c r="G126" s="4" t="s">
        <v>41</v>
      </c>
    </row>
    <row r="127" spans="1:7" x14ac:dyDescent="0.4">
      <c r="A127" s="4" t="s">
        <v>197</v>
      </c>
      <c r="B127" s="4" t="s">
        <v>21</v>
      </c>
      <c r="C127" s="4" t="s">
        <v>35</v>
      </c>
      <c r="D127" s="5">
        <v>45232</v>
      </c>
      <c r="E127" s="6">
        <v>0.40625</v>
      </c>
      <c r="F127" s="4" t="s">
        <v>26</v>
      </c>
      <c r="G127" s="4" t="s">
        <v>11</v>
      </c>
    </row>
    <row r="128" spans="1:7" x14ac:dyDescent="0.4">
      <c r="A128" s="4" t="s">
        <v>198</v>
      </c>
      <c r="B128" s="4" t="s">
        <v>125</v>
      </c>
      <c r="C128" s="4" t="s">
        <v>35</v>
      </c>
      <c r="D128" s="5">
        <v>45243</v>
      </c>
      <c r="E128" s="6">
        <v>0.35416666666666674</v>
      </c>
      <c r="F128" s="4" t="s">
        <v>29</v>
      </c>
      <c r="G128" s="4" t="s">
        <v>15</v>
      </c>
    </row>
    <row r="129" spans="1:7" x14ac:dyDescent="0.4">
      <c r="A129" s="4" t="s">
        <v>199</v>
      </c>
      <c r="B129" s="4" t="s">
        <v>161</v>
      </c>
      <c r="C129" s="4" t="s">
        <v>48</v>
      </c>
      <c r="D129" s="5">
        <v>45031</v>
      </c>
      <c r="E129" s="6">
        <v>0.61458333333333326</v>
      </c>
      <c r="F129" s="4" t="s">
        <v>38</v>
      </c>
      <c r="G129" s="4" t="s">
        <v>41</v>
      </c>
    </row>
    <row r="130" spans="1:7" x14ac:dyDescent="0.4">
      <c r="A130" s="4" t="s">
        <v>200</v>
      </c>
      <c r="B130" s="4" t="s">
        <v>70</v>
      </c>
      <c r="C130" s="4" t="s">
        <v>22</v>
      </c>
      <c r="D130" s="5">
        <v>45163</v>
      </c>
      <c r="E130" s="6">
        <v>0.39583333333333326</v>
      </c>
      <c r="F130" s="4" t="s">
        <v>29</v>
      </c>
      <c r="G130" s="4" t="s">
        <v>19</v>
      </c>
    </row>
    <row r="131" spans="1:7" x14ac:dyDescent="0.4">
      <c r="A131" s="4" t="s">
        <v>201</v>
      </c>
      <c r="B131" s="4" t="s">
        <v>151</v>
      </c>
      <c r="C131" s="4" t="s">
        <v>22</v>
      </c>
      <c r="D131" s="5">
        <v>44980</v>
      </c>
      <c r="E131" s="6">
        <v>0.625</v>
      </c>
      <c r="F131" s="4" t="s">
        <v>26</v>
      </c>
      <c r="G131" s="4" t="s">
        <v>15</v>
      </c>
    </row>
    <row r="132" spans="1:7" x14ac:dyDescent="0.4">
      <c r="A132" s="4" t="s">
        <v>202</v>
      </c>
      <c r="B132" s="4" t="s">
        <v>68</v>
      </c>
      <c r="C132" s="4" t="s">
        <v>25</v>
      </c>
      <c r="D132" s="5">
        <v>45057</v>
      </c>
      <c r="E132" s="6">
        <v>0.6875</v>
      </c>
      <c r="F132" s="4" t="s">
        <v>10</v>
      </c>
      <c r="G132" s="4" t="s">
        <v>15</v>
      </c>
    </row>
    <row r="133" spans="1:7" x14ac:dyDescent="0.4">
      <c r="A133" s="4" t="s">
        <v>203</v>
      </c>
      <c r="B133" s="4" t="s">
        <v>119</v>
      </c>
      <c r="C133" s="4" t="s">
        <v>48</v>
      </c>
      <c r="D133" s="5">
        <v>45133</v>
      </c>
      <c r="E133" s="6">
        <v>0.44791666666666674</v>
      </c>
      <c r="F133" s="4" t="s">
        <v>29</v>
      </c>
      <c r="G133" s="4" t="s">
        <v>19</v>
      </c>
    </row>
    <row r="134" spans="1:7" x14ac:dyDescent="0.4">
      <c r="A134" s="4" t="s">
        <v>204</v>
      </c>
      <c r="B134" s="4" t="s">
        <v>17</v>
      </c>
      <c r="C134" s="4" t="s">
        <v>59</v>
      </c>
      <c r="D134" s="5">
        <v>45008</v>
      </c>
      <c r="E134" s="6">
        <v>0.60416666666666674</v>
      </c>
      <c r="F134" s="4" t="s">
        <v>29</v>
      </c>
      <c r="G134" s="4" t="s">
        <v>41</v>
      </c>
    </row>
    <row r="135" spans="1:7" x14ac:dyDescent="0.4">
      <c r="A135" s="4" t="s">
        <v>205</v>
      </c>
      <c r="B135" s="4" t="s">
        <v>21</v>
      </c>
      <c r="C135" s="4" t="s">
        <v>22</v>
      </c>
      <c r="D135" s="5">
        <v>45216</v>
      </c>
      <c r="E135" s="6">
        <v>0.63541666666666674</v>
      </c>
      <c r="F135" s="4" t="s">
        <v>18</v>
      </c>
      <c r="G135" s="4" t="s">
        <v>11</v>
      </c>
    </row>
    <row r="136" spans="1:7" x14ac:dyDescent="0.4">
      <c r="A136" s="4" t="s">
        <v>206</v>
      </c>
      <c r="B136" s="4" t="s">
        <v>43</v>
      </c>
      <c r="C136" s="4" t="s">
        <v>74</v>
      </c>
      <c r="D136" s="5">
        <v>45178</v>
      </c>
      <c r="E136" s="6">
        <v>0.6875</v>
      </c>
      <c r="F136" s="4" t="s">
        <v>10</v>
      </c>
      <c r="G136" s="4" t="s">
        <v>11</v>
      </c>
    </row>
    <row r="137" spans="1:7" x14ac:dyDescent="0.4">
      <c r="A137" s="4" t="s">
        <v>207</v>
      </c>
      <c r="B137" s="4" t="s">
        <v>142</v>
      </c>
      <c r="C137" s="4" t="s">
        <v>9</v>
      </c>
      <c r="D137" s="5">
        <v>45059</v>
      </c>
      <c r="E137" s="6">
        <v>0.52083333333333326</v>
      </c>
      <c r="F137" s="4" t="s">
        <v>38</v>
      </c>
      <c r="G137" s="4" t="s">
        <v>41</v>
      </c>
    </row>
    <row r="138" spans="1:7" x14ac:dyDescent="0.4">
      <c r="A138" s="4" t="s">
        <v>208</v>
      </c>
      <c r="B138" s="4" t="s">
        <v>100</v>
      </c>
      <c r="C138" s="4" t="s">
        <v>59</v>
      </c>
      <c r="D138" s="5">
        <v>45224</v>
      </c>
      <c r="E138" s="6">
        <v>0.41666666666666674</v>
      </c>
      <c r="F138" s="4" t="s">
        <v>26</v>
      </c>
      <c r="G138" s="4" t="s">
        <v>15</v>
      </c>
    </row>
    <row r="139" spans="1:7" x14ac:dyDescent="0.4">
      <c r="A139" s="4" t="s">
        <v>209</v>
      </c>
      <c r="B139" s="4" t="s">
        <v>68</v>
      </c>
      <c r="C139" s="4" t="s">
        <v>32</v>
      </c>
      <c r="D139" s="5">
        <v>45286</v>
      </c>
      <c r="E139" s="6">
        <v>0.63541666666666674</v>
      </c>
      <c r="F139" s="4" t="s">
        <v>38</v>
      </c>
      <c r="G139" s="4" t="s">
        <v>15</v>
      </c>
    </row>
    <row r="140" spans="1:7" x14ac:dyDescent="0.4">
      <c r="A140" s="4" t="s">
        <v>210</v>
      </c>
      <c r="B140" s="4" t="s">
        <v>84</v>
      </c>
      <c r="C140" s="4" t="s">
        <v>74</v>
      </c>
      <c r="D140" s="5">
        <v>45209</v>
      </c>
      <c r="E140" s="6">
        <v>0.44791666666666674</v>
      </c>
      <c r="F140" s="4" t="s">
        <v>10</v>
      </c>
      <c r="G140" s="4" t="s">
        <v>15</v>
      </c>
    </row>
    <row r="141" spans="1:7" x14ac:dyDescent="0.4">
      <c r="A141" s="4" t="s">
        <v>211</v>
      </c>
      <c r="B141" s="4" t="s">
        <v>50</v>
      </c>
      <c r="C141" s="4" t="s">
        <v>74</v>
      </c>
      <c r="D141" s="5">
        <v>44962</v>
      </c>
      <c r="E141" s="6">
        <v>0.63541666666666674</v>
      </c>
      <c r="F141" s="4" t="s">
        <v>29</v>
      </c>
      <c r="G141" s="4" t="s">
        <v>15</v>
      </c>
    </row>
    <row r="142" spans="1:7" x14ac:dyDescent="0.4">
      <c r="A142" s="4" t="s">
        <v>212</v>
      </c>
      <c r="B142" s="4" t="s">
        <v>161</v>
      </c>
      <c r="C142" s="4" t="s">
        <v>48</v>
      </c>
      <c r="D142" s="5">
        <v>45092</v>
      </c>
      <c r="E142" s="6">
        <v>0.63541666666666674</v>
      </c>
      <c r="F142" s="4" t="s">
        <v>29</v>
      </c>
      <c r="G142" s="4" t="s">
        <v>41</v>
      </c>
    </row>
    <row r="143" spans="1:7" x14ac:dyDescent="0.4">
      <c r="A143" s="4" t="s">
        <v>213</v>
      </c>
      <c r="B143" s="4" t="s">
        <v>100</v>
      </c>
      <c r="C143" s="4" t="s">
        <v>25</v>
      </c>
      <c r="D143" s="5">
        <v>45231</v>
      </c>
      <c r="E143" s="6">
        <v>0.48958333333333326</v>
      </c>
      <c r="F143" s="4" t="s">
        <v>10</v>
      </c>
      <c r="G143" s="4" t="s">
        <v>15</v>
      </c>
    </row>
    <row r="144" spans="1:7" x14ac:dyDescent="0.4">
      <c r="A144" s="4" t="s">
        <v>214</v>
      </c>
      <c r="B144" s="4" t="s">
        <v>50</v>
      </c>
      <c r="C144" s="4" t="s">
        <v>32</v>
      </c>
      <c r="D144" s="5">
        <v>45190</v>
      </c>
      <c r="E144" s="6">
        <v>0.51041666666666674</v>
      </c>
      <c r="F144" s="4" t="s">
        <v>29</v>
      </c>
      <c r="G144" s="4" t="s">
        <v>19</v>
      </c>
    </row>
    <row r="145" spans="1:7" x14ac:dyDescent="0.4">
      <c r="A145" s="4" t="s">
        <v>215</v>
      </c>
      <c r="B145" s="4" t="s">
        <v>177</v>
      </c>
      <c r="C145" s="4" t="s">
        <v>22</v>
      </c>
      <c r="D145" s="5">
        <v>45154</v>
      </c>
      <c r="E145" s="6">
        <v>0.51041666666666674</v>
      </c>
      <c r="F145" s="4" t="s">
        <v>29</v>
      </c>
      <c r="G145" s="4" t="s">
        <v>15</v>
      </c>
    </row>
    <row r="146" spans="1:7" x14ac:dyDescent="0.4">
      <c r="A146" s="4" t="s">
        <v>216</v>
      </c>
      <c r="B146" s="4" t="s">
        <v>163</v>
      </c>
      <c r="C146" s="4" t="s">
        <v>48</v>
      </c>
      <c r="D146" s="5">
        <v>45241</v>
      </c>
      <c r="E146" s="6">
        <v>0.61458333333333326</v>
      </c>
      <c r="F146" s="4" t="s">
        <v>29</v>
      </c>
      <c r="G146" s="4" t="s">
        <v>11</v>
      </c>
    </row>
    <row r="147" spans="1:7" x14ac:dyDescent="0.4">
      <c r="A147" s="4" t="s">
        <v>217</v>
      </c>
      <c r="B147" s="4" t="s">
        <v>63</v>
      </c>
      <c r="C147" s="4" t="s">
        <v>22</v>
      </c>
      <c r="D147" s="5">
        <v>44931</v>
      </c>
      <c r="E147" s="6">
        <v>0.39583333333333326</v>
      </c>
      <c r="F147" s="4" t="s">
        <v>26</v>
      </c>
      <c r="G147" s="4" t="s">
        <v>15</v>
      </c>
    </row>
    <row r="148" spans="1:7" x14ac:dyDescent="0.4">
      <c r="A148" s="4" t="s">
        <v>218</v>
      </c>
      <c r="B148" s="4" t="s">
        <v>61</v>
      </c>
      <c r="C148" s="4" t="s">
        <v>48</v>
      </c>
      <c r="D148" s="5">
        <v>45243</v>
      </c>
      <c r="E148" s="6">
        <v>0.72916666666666674</v>
      </c>
      <c r="F148" s="4" t="s">
        <v>26</v>
      </c>
      <c r="G148" s="4" t="s">
        <v>41</v>
      </c>
    </row>
    <row r="149" spans="1:7" x14ac:dyDescent="0.4">
      <c r="A149" s="4" t="s">
        <v>219</v>
      </c>
      <c r="B149" s="4" t="s">
        <v>97</v>
      </c>
      <c r="C149" s="4" t="s">
        <v>48</v>
      </c>
      <c r="D149" s="5">
        <v>45266</v>
      </c>
      <c r="E149" s="6">
        <v>0.35416666666666674</v>
      </c>
      <c r="F149" s="4" t="s">
        <v>18</v>
      </c>
      <c r="G149" s="4" t="s">
        <v>11</v>
      </c>
    </row>
    <row r="150" spans="1:7" x14ac:dyDescent="0.4">
      <c r="A150" s="4" t="s">
        <v>220</v>
      </c>
      <c r="B150" s="4" t="s">
        <v>100</v>
      </c>
      <c r="C150" s="4" t="s">
        <v>48</v>
      </c>
      <c r="D150" s="5">
        <v>45133</v>
      </c>
      <c r="E150" s="6">
        <v>0.52083333333333326</v>
      </c>
      <c r="F150" s="4" t="s">
        <v>38</v>
      </c>
      <c r="G150" s="4" t="s">
        <v>41</v>
      </c>
    </row>
    <row r="151" spans="1:7" x14ac:dyDescent="0.4">
      <c r="A151" s="4" t="s">
        <v>221</v>
      </c>
      <c r="B151" s="4" t="s">
        <v>66</v>
      </c>
      <c r="C151" s="4" t="s">
        <v>25</v>
      </c>
      <c r="D151" s="5">
        <v>45154</v>
      </c>
      <c r="E151" s="6">
        <v>0.44791666666666674</v>
      </c>
      <c r="F151" s="4" t="s">
        <v>10</v>
      </c>
      <c r="G151" s="4" t="s">
        <v>41</v>
      </c>
    </row>
    <row r="152" spans="1:7" x14ac:dyDescent="0.4">
      <c r="A152" s="4" t="s">
        <v>222</v>
      </c>
      <c r="B152" s="4" t="s">
        <v>34</v>
      </c>
      <c r="C152" s="4" t="s">
        <v>48</v>
      </c>
      <c r="D152" s="5">
        <v>44954</v>
      </c>
      <c r="E152" s="6">
        <v>0.38541666666666674</v>
      </c>
      <c r="F152" s="4" t="s">
        <v>10</v>
      </c>
      <c r="G152" s="4" t="s">
        <v>11</v>
      </c>
    </row>
    <row r="153" spans="1:7" x14ac:dyDescent="0.4">
      <c r="A153" s="4" t="s">
        <v>223</v>
      </c>
      <c r="B153" s="4" t="s">
        <v>40</v>
      </c>
      <c r="C153" s="4" t="s">
        <v>14</v>
      </c>
      <c r="D153" s="5">
        <v>45030</v>
      </c>
      <c r="E153" s="6">
        <v>0.35416666666666674</v>
      </c>
      <c r="F153" s="4" t="s">
        <v>10</v>
      </c>
      <c r="G153" s="4" t="s">
        <v>41</v>
      </c>
    </row>
    <row r="154" spans="1:7" x14ac:dyDescent="0.4">
      <c r="A154" s="4" t="s">
        <v>224</v>
      </c>
      <c r="B154" s="4" t="s">
        <v>125</v>
      </c>
      <c r="C154" s="4" t="s">
        <v>9</v>
      </c>
      <c r="D154" s="5">
        <v>45115</v>
      </c>
      <c r="E154" s="6">
        <v>0.53125</v>
      </c>
      <c r="F154" s="4" t="s">
        <v>18</v>
      </c>
      <c r="G154" s="4" t="s">
        <v>41</v>
      </c>
    </row>
    <row r="155" spans="1:7" x14ac:dyDescent="0.4">
      <c r="A155" s="4" t="s">
        <v>225</v>
      </c>
      <c r="B155" s="4" t="s">
        <v>50</v>
      </c>
      <c r="C155" s="4" t="s">
        <v>22</v>
      </c>
      <c r="D155" s="5">
        <v>44991</v>
      </c>
      <c r="E155" s="6">
        <v>0.72916666666666674</v>
      </c>
      <c r="F155" s="4" t="s">
        <v>26</v>
      </c>
      <c r="G155" s="4" t="s">
        <v>15</v>
      </c>
    </row>
    <row r="156" spans="1:7" x14ac:dyDescent="0.4">
      <c r="A156" s="4" t="s">
        <v>226</v>
      </c>
      <c r="B156" s="4" t="s">
        <v>21</v>
      </c>
      <c r="C156" s="4" t="s">
        <v>59</v>
      </c>
      <c r="D156" s="5">
        <v>44929</v>
      </c>
      <c r="E156" s="6">
        <v>0.39583333333333326</v>
      </c>
      <c r="F156" s="4" t="s">
        <v>18</v>
      </c>
      <c r="G156" s="4" t="s">
        <v>19</v>
      </c>
    </row>
    <row r="157" spans="1:7" x14ac:dyDescent="0.4">
      <c r="A157" s="4" t="s">
        <v>227</v>
      </c>
      <c r="B157" s="4" t="s">
        <v>81</v>
      </c>
      <c r="C157" s="4" t="s">
        <v>54</v>
      </c>
      <c r="D157" s="5">
        <v>45252</v>
      </c>
      <c r="E157" s="6">
        <v>0.60416666666666674</v>
      </c>
      <c r="F157" s="4" t="s">
        <v>10</v>
      </c>
      <c r="G157" s="4" t="s">
        <v>41</v>
      </c>
    </row>
    <row r="158" spans="1:7" x14ac:dyDescent="0.4">
      <c r="A158" s="4" t="s">
        <v>228</v>
      </c>
      <c r="B158" s="4" t="s">
        <v>84</v>
      </c>
      <c r="C158" s="4" t="s">
        <v>32</v>
      </c>
      <c r="D158" s="5">
        <v>45058</v>
      </c>
      <c r="E158" s="6">
        <v>0.45833333333333326</v>
      </c>
      <c r="F158" s="4" t="s">
        <v>38</v>
      </c>
      <c r="G158" s="4" t="s">
        <v>41</v>
      </c>
    </row>
    <row r="159" spans="1:7" x14ac:dyDescent="0.4">
      <c r="A159" s="4" t="s">
        <v>229</v>
      </c>
      <c r="B159" s="4" t="s">
        <v>90</v>
      </c>
      <c r="C159" s="4" t="s">
        <v>35</v>
      </c>
      <c r="D159" s="5">
        <v>45119</v>
      </c>
      <c r="E159" s="6">
        <v>0.51041666666666674</v>
      </c>
      <c r="F159" s="4" t="s">
        <v>29</v>
      </c>
      <c r="G159" s="4" t="s">
        <v>41</v>
      </c>
    </row>
    <row r="160" spans="1:7" x14ac:dyDescent="0.4">
      <c r="A160" s="4" t="s">
        <v>230</v>
      </c>
      <c r="B160" s="4" t="s">
        <v>34</v>
      </c>
      <c r="C160" s="4" t="s">
        <v>25</v>
      </c>
      <c r="D160" s="5">
        <v>45024</v>
      </c>
      <c r="E160" s="6">
        <v>0.67708333333333326</v>
      </c>
      <c r="F160" s="4" t="s">
        <v>26</v>
      </c>
      <c r="G160" s="4" t="s">
        <v>15</v>
      </c>
    </row>
    <row r="161" spans="1:7" x14ac:dyDescent="0.4">
      <c r="A161" s="4" t="s">
        <v>231</v>
      </c>
      <c r="B161" s="4" t="s">
        <v>37</v>
      </c>
      <c r="C161" s="4" t="s">
        <v>59</v>
      </c>
      <c r="D161" s="5">
        <v>45277</v>
      </c>
      <c r="E161" s="6">
        <v>0.53125</v>
      </c>
      <c r="F161" s="4" t="s">
        <v>26</v>
      </c>
      <c r="G161" s="4" t="s">
        <v>19</v>
      </c>
    </row>
    <row r="162" spans="1:7" x14ac:dyDescent="0.4">
      <c r="A162" s="4" t="s">
        <v>232</v>
      </c>
      <c r="B162" s="4" t="s">
        <v>28</v>
      </c>
      <c r="C162" s="4" t="s">
        <v>74</v>
      </c>
      <c r="D162" s="5">
        <v>45094</v>
      </c>
      <c r="E162" s="6">
        <v>0.44791666666666674</v>
      </c>
      <c r="F162" s="4" t="s">
        <v>18</v>
      </c>
      <c r="G162" s="4" t="s">
        <v>11</v>
      </c>
    </row>
    <row r="163" spans="1:7" x14ac:dyDescent="0.4">
      <c r="A163" s="4" t="s">
        <v>233</v>
      </c>
      <c r="B163" s="4" t="s">
        <v>234</v>
      </c>
      <c r="C163" s="4" t="s">
        <v>14</v>
      </c>
      <c r="D163" s="5">
        <v>44927</v>
      </c>
      <c r="E163" s="6">
        <v>0.71875</v>
      </c>
      <c r="F163" s="4" t="s">
        <v>26</v>
      </c>
      <c r="G163" s="4" t="s">
        <v>15</v>
      </c>
    </row>
    <row r="164" spans="1:7" x14ac:dyDescent="0.4">
      <c r="A164" s="4" t="s">
        <v>235</v>
      </c>
      <c r="B164" s="4" t="s">
        <v>37</v>
      </c>
      <c r="C164" s="4" t="s">
        <v>35</v>
      </c>
      <c r="D164" s="5">
        <v>45104</v>
      </c>
      <c r="E164" s="6">
        <v>0.625</v>
      </c>
      <c r="F164" s="4" t="s">
        <v>10</v>
      </c>
      <c r="G164" s="4" t="s">
        <v>15</v>
      </c>
    </row>
    <row r="165" spans="1:7" x14ac:dyDescent="0.4">
      <c r="A165" s="4" t="s">
        <v>236</v>
      </c>
      <c r="B165" s="4" t="s">
        <v>61</v>
      </c>
      <c r="C165" s="4" t="s">
        <v>54</v>
      </c>
      <c r="D165" s="5">
        <v>45135</v>
      </c>
      <c r="E165" s="6">
        <v>0.71875</v>
      </c>
      <c r="F165" s="4" t="s">
        <v>10</v>
      </c>
      <c r="G165" s="4" t="s">
        <v>19</v>
      </c>
    </row>
    <row r="166" spans="1:7" x14ac:dyDescent="0.4">
      <c r="A166" s="4" t="s">
        <v>237</v>
      </c>
      <c r="B166" s="4" t="s">
        <v>97</v>
      </c>
      <c r="C166" s="4" t="s">
        <v>59</v>
      </c>
      <c r="D166" s="5">
        <v>45020</v>
      </c>
      <c r="E166" s="6">
        <v>0.64583333333333326</v>
      </c>
      <c r="F166" s="4" t="s">
        <v>18</v>
      </c>
      <c r="G166" s="4" t="s">
        <v>19</v>
      </c>
    </row>
    <row r="167" spans="1:7" x14ac:dyDescent="0.4">
      <c r="A167" s="4" t="s">
        <v>238</v>
      </c>
      <c r="B167" s="4" t="s">
        <v>40</v>
      </c>
      <c r="C167" s="4" t="s">
        <v>35</v>
      </c>
      <c r="D167" s="5">
        <v>44938</v>
      </c>
      <c r="E167" s="6">
        <v>0.61458333333333326</v>
      </c>
      <c r="F167" s="4" t="s">
        <v>10</v>
      </c>
      <c r="G167" s="4" t="s">
        <v>15</v>
      </c>
    </row>
    <row r="168" spans="1:7" x14ac:dyDescent="0.4">
      <c r="A168" s="4" t="s">
        <v>239</v>
      </c>
      <c r="B168" s="4" t="s">
        <v>125</v>
      </c>
      <c r="C168" s="4" t="s">
        <v>59</v>
      </c>
      <c r="D168" s="5">
        <v>45245</v>
      </c>
      <c r="E168" s="6">
        <v>0.34375</v>
      </c>
      <c r="F168" s="4" t="s">
        <v>38</v>
      </c>
      <c r="G168" s="4" t="s">
        <v>11</v>
      </c>
    </row>
    <row r="169" spans="1:7" x14ac:dyDescent="0.4">
      <c r="A169" s="4" t="s">
        <v>240</v>
      </c>
      <c r="B169" s="4" t="s">
        <v>90</v>
      </c>
      <c r="C169" s="4" t="s">
        <v>14</v>
      </c>
      <c r="D169" s="5">
        <v>45198</v>
      </c>
      <c r="E169" s="6">
        <v>0.41666666666666674</v>
      </c>
      <c r="F169" s="4" t="s">
        <v>18</v>
      </c>
      <c r="G169" s="4" t="s">
        <v>15</v>
      </c>
    </row>
    <row r="170" spans="1:7" x14ac:dyDescent="0.4">
      <c r="A170" s="4" t="s">
        <v>241</v>
      </c>
      <c r="B170" s="4" t="s">
        <v>45</v>
      </c>
      <c r="C170" s="4" t="s">
        <v>54</v>
      </c>
      <c r="D170" s="5">
        <v>45131</v>
      </c>
      <c r="E170" s="6">
        <v>0.69791666666666674</v>
      </c>
      <c r="F170" s="4" t="s">
        <v>38</v>
      </c>
      <c r="G170" s="4" t="s">
        <v>19</v>
      </c>
    </row>
    <row r="171" spans="1:7" x14ac:dyDescent="0.4">
      <c r="A171" s="4" t="s">
        <v>242</v>
      </c>
      <c r="B171" s="4" t="s">
        <v>129</v>
      </c>
      <c r="C171" s="4" t="s">
        <v>74</v>
      </c>
      <c r="D171" s="5">
        <v>44988</v>
      </c>
      <c r="E171" s="6">
        <v>0.375</v>
      </c>
      <c r="F171" s="4" t="s">
        <v>29</v>
      </c>
      <c r="G171" s="4" t="s">
        <v>11</v>
      </c>
    </row>
    <row r="172" spans="1:7" x14ac:dyDescent="0.4">
      <c r="A172" s="4" t="s">
        <v>243</v>
      </c>
      <c r="B172" s="4" t="s">
        <v>168</v>
      </c>
      <c r="C172" s="4" t="s">
        <v>48</v>
      </c>
      <c r="D172" s="5">
        <v>45034</v>
      </c>
      <c r="E172" s="6">
        <v>0.6875</v>
      </c>
      <c r="F172" s="4" t="s">
        <v>38</v>
      </c>
      <c r="G172" s="4" t="s">
        <v>19</v>
      </c>
    </row>
    <row r="173" spans="1:7" x14ac:dyDescent="0.4">
      <c r="A173" s="4" t="s">
        <v>244</v>
      </c>
      <c r="B173" s="4" t="s">
        <v>185</v>
      </c>
      <c r="C173" s="4" t="s">
        <v>22</v>
      </c>
      <c r="D173" s="5">
        <v>44994</v>
      </c>
      <c r="E173" s="6">
        <v>0.67708333333333326</v>
      </c>
      <c r="F173" s="4" t="s">
        <v>29</v>
      </c>
      <c r="G173" s="4" t="s">
        <v>11</v>
      </c>
    </row>
    <row r="174" spans="1:7" x14ac:dyDescent="0.4">
      <c r="A174" s="4" t="s">
        <v>245</v>
      </c>
      <c r="B174" s="4" t="s">
        <v>66</v>
      </c>
      <c r="C174" s="4" t="s">
        <v>74</v>
      </c>
      <c r="D174" s="5">
        <v>45081</v>
      </c>
      <c r="E174" s="6">
        <v>0.5625</v>
      </c>
      <c r="F174" s="4" t="s">
        <v>29</v>
      </c>
      <c r="G174" s="4" t="s">
        <v>41</v>
      </c>
    </row>
    <row r="175" spans="1:7" x14ac:dyDescent="0.4">
      <c r="A175" s="4" t="s">
        <v>246</v>
      </c>
      <c r="B175" s="4" t="s">
        <v>50</v>
      </c>
      <c r="C175" s="4" t="s">
        <v>48</v>
      </c>
      <c r="D175" s="5">
        <v>45230</v>
      </c>
      <c r="E175" s="6">
        <v>0.46875</v>
      </c>
      <c r="F175" s="4" t="s">
        <v>38</v>
      </c>
      <c r="G175" s="4" t="s">
        <v>19</v>
      </c>
    </row>
    <row r="176" spans="1:7" x14ac:dyDescent="0.4">
      <c r="A176" s="4" t="s">
        <v>247</v>
      </c>
      <c r="B176" s="4" t="s">
        <v>177</v>
      </c>
      <c r="C176" s="4" t="s">
        <v>25</v>
      </c>
      <c r="D176" s="5">
        <v>45221</v>
      </c>
      <c r="E176" s="6">
        <v>0.70833333333333326</v>
      </c>
      <c r="F176" s="4" t="s">
        <v>18</v>
      </c>
      <c r="G176" s="4" t="s">
        <v>19</v>
      </c>
    </row>
    <row r="177" spans="1:11" x14ac:dyDescent="0.4">
      <c r="A177" s="4" t="s">
        <v>248</v>
      </c>
      <c r="B177" s="4" t="s">
        <v>92</v>
      </c>
      <c r="C177" s="4" t="s">
        <v>9</v>
      </c>
      <c r="D177" s="5">
        <v>45042</v>
      </c>
      <c r="E177" s="6">
        <v>0.39583333333333326</v>
      </c>
      <c r="F177" s="4" t="s">
        <v>10</v>
      </c>
      <c r="G177" s="4" t="s">
        <v>15</v>
      </c>
    </row>
    <row r="178" spans="1:11" x14ac:dyDescent="0.4">
      <c r="A178" s="4" t="s">
        <v>249</v>
      </c>
      <c r="B178" s="4" t="s">
        <v>139</v>
      </c>
      <c r="C178" s="4" t="s">
        <v>32</v>
      </c>
      <c r="D178" s="5">
        <v>45154</v>
      </c>
      <c r="E178" s="6">
        <v>0.52083333333333326</v>
      </c>
      <c r="F178" s="4" t="s">
        <v>10</v>
      </c>
      <c r="G178" s="4" t="s">
        <v>19</v>
      </c>
    </row>
    <row r="179" spans="1:11" x14ac:dyDescent="0.4">
      <c r="A179" s="4" t="s">
        <v>250</v>
      </c>
      <c r="B179" s="4" t="s">
        <v>151</v>
      </c>
      <c r="C179" s="4" t="s">
        <v>32</v>
      </c>
      <c r="D179" s="5">
        <v>44943</v>
      </c>
      <c r="E179" s="6">
        <v>0.55208333333333326</v>
      </c>
      <c r="F179" s="4" t="s">
        <v>29</v>
      </c>
      <c r="G179" s="4" t="s">
        <v>19</v>
      </c>
    </row>
    <row r="180" spans="1:11" x14ac:dyDescent="0.4">
      <c r="A180" s="4" t="s">
        <v>251</v>
      </c>
      <c r="B180" s="4" t="s">
        <v>252</v>
      </c>
      <c r="C180" s="4" t="s">
        <v>22</v>
      </c>
      <c r="D180" s="5">
        <v>44993</v>
      </c>
      <c r="E180" s="6">
        <v>0.51041666666666674</v>
      </c>
      <c r="F180" s="4" t="s">
        <v>29</v>
      </c>
      <c r="G180" s="4" t="s">
        <v>41</v>
      </c>
    </row>
    <row r="181" spans="1:11" x14ac:dyDescent="0.4">
      <c r="A181" s="4" t="s">
        <v>253</v>
      </c>
      <c r="B181" s="4" t="s">
        <v>163</v>
      </c>
      <c r="C181" s="4" t="s">
        <v>54</v>
      </c>
      <c r="D181" s="5">
        <v>44933</v>
      </c>
      <c r="E181" s="6">
        <v>0.45833333333333326</v>
      </c>
      <c r="F181" s="4" t="s">
        <v>18</v>
      </c>
      <c r="G181" s="4" t="s">
        <v>19</v>
      </c>
    </row>
    <row r="182" spans="1:11" x14ac:dyDescent="0.4">
      <c r="A182" s="4" t="s">
        <v>254</v>
      </c>
      <c r="B182" s="4" t="s">
        <v>72</v>
      </c>
      <c r="C182" s="4" t="s">
        <v>14</v>
      </c>
      <c r="D182" s="5">
        <v>45172</v>
      </c>
      <c r="E182" s="6">
        <v>0.55208333333333326</v>
      </c>
      <c r="F182" s="4" t="s">
        <v>26</v>
      </c>
      <c r="G182" s="4" t="s">
        <v>41</v>
      </c>
    </row>
    <row r="183" spans="1:11" x14ac:dyDescent="0.4">
      <c r="A183" s="4" t="s">
        <v>255</v>
      </c>
      <c r="B183" s="4" t="s">
        <v>142</v>
      </c>
      <c r="C183" s="4" t="s">
        <v>54</v>
      </c>
      <c r="D183" s="5">
        <v>45028</v>
      </c>
      <c r="E183" s="6">
        <v>0.33333333333333326</v>
      </c>
      <c r="F183" s="4" t="s">
        <v>38</v>
      </c>
      <c r="G183" s="4" t="s">
        <v>41</v>
      </c>
    </row>
    <row r="184" spans="1:11" x14ac:dyDescent="0.4">
      <c r="A184" s="4" t="s">
        <v>256</v>
      </c>
      <c r="B184" s="4" t="s">
        <v>24</v>
      </c>
      <c r="C184" s="4" t="s">
        <v>14</v>
      </c>
      <c r="D184" s="5">
        <v>44960</v>
      </c>
      <c r="E184" s="6">
        <v>0.67708333333333326</v>
      </c>
      <c r="F184" s="4" t="s">
        <v>29</v>
      </c>
      <c r="G184" s="4" t="s">
        <v>41</v>
      </c>
    </row>
    <row r="185" spans="1:11" x14ac:dyDescent="0.4">
      <c r="A185" s="4" t="s">
        <v>257</v>
      </c>
      <c r="B185" s="4" t="s">
        <v>234</v>
      </c>
      <c r="C185" s="4" t="s">
        <v>54</v>
      </c>
      <c r="D185" s="5">
        <v>44983</v>
      </c>
      <c r="E185" s="6">
        <v>0.73958333333333326</v>
      </c>
      <c r="F185" s="4" t="s">
        <v>10</v>
      </c>
      <c r="G185" s="4" t="s">
        <v>41</v>
      </c>
    </row>
    <row r="186" spans="1:11" x14ac:dyDescent="0.4">
      <c r="A186" s="4" t="s">
        <v>258</v>
      </c>
      <c r="B186" s="4" t="s">
        <v>177</v>
      </c>
      <c r="C186" s="4" t="s">
        <v>9</v>
      </c>
      <c r="D186" s="5">
        <v>45006</v>
      </c>
      <c r="E186" s="6">
        <v>0.58333333333333326</v>
      </c>
      <c r="F186" s="4" t="s">
        <v>18</v>
      </c>
      <c r="G186" s="4" t="s">
        <v>11</v>
      </c>
    </row>
    <row r="187" spans="1:11" x14ac:dyDescent="0.4">
      <c r="A187" s="4" t="s">
        <v>259</v>
      </c>
      <c r="B187" s="4" t="s">
        <v>123</v>
      </c>
      <c r="C187" s="4" t="s">
        <v>25</v>
      </c>
      <c r="D187" s="5">
        <v>45012</v>
      </c>
      <c r="E187" s="6">
        <v>0.71875</v>
      </c>
      <c r="F187" s="4" t="s">
        <v>38</v>
      </c>
      <c r="G187" s="4" t="s">
        <v>15</v>
      </c>
    </row>
    <row r="188" spans="1:11" x14ac:dyDescent="0.4">
      <c r="A188" s="4" t="s">
        <v>260</v>
      </c>
      <c r="B188" s="4" t="s">
        <v>117</v>
      </c>
      <c r="C188" s="4" t="s">
        <v>25</v>
      </c>
      <c r="D188" s="5">
        <v>44970</v>
      </c>
      <c r="E188" s="6">
        <v>0.52083333333333326</v>
      </c>
      <c r="F188" s="4" t="s">
        <v>18</v>
      </c>
      <c r="G188" s="4" t="s">
        <v>11</v>
      </c>
    </row>
    <row r="189" spans="1:11" x14ac:dyDescent="0.4">
      <c r="A189" s="4" t="s">
        <v>261</v>
      </c>
      <c r="B189" s="4" t="s">
        <v>112</v>
      </c>
      <c r="C189" s="4" t="s">
        <v>48</v>
      </c>
      <c r="D189" s="5">
        <v>45028</v>
      </c>
      <c r="E189" s="6">
        <v>0.6875</v>
      </c>
      <c r="F189" s="4" t="s">
        <v>38</v>
      </c>
      <c r="G189" s="4" t="s">
        <v>19</v>
      </c>
    </row>
    <row r="190" spans="1:11" x14ac:dyDescent="0.4">
      <c r="A190" s="4" t="s">
        <v>262</v>
      </c>
      <c r="B190" s="4" t="s">
        <v>40</v>
      </c>
      <c r="C190" s="4" t="s">
        <v>35</v>
      </c>
      <c r="D190" s="5">
        <v>45204</v>
      </c>
      <c r="E190" s="6">
        <v>0.5625</v>
      </c>
      <c r="F190" s="4" t="s">
        <v>38</v>
      </c>
      <c r="G190" s="4" t="s">
        <v>11</v>
      </c>
    </row>
    <row r="191" spans="1:11" x14ac:dyDescent="0.4">
      <c r="A191" s="4" t="s">
        <v>263</v>
      </c>
      <c r="B191" s="4" t="s">
        <v>45</v>
      </c>
      <c r="C191" s="4" t="s">
        <v>25</v>
      </c>
      <c r="D191" s="5">
        <v>45246</v>
      </c>
      <c r="E191" s="6">
        <v>0.63541666666666674</v>
      </c>
      <c r="F191" s="4" t="s">
        <v>29</v>
      </c>
      <c r="G191" s="4" t="s">
        <v>11</v>
      </c>
    </row>
    <row r="192" spans="1:11" x14ac:dyDescent="0.4">
      <c r="A192" s="4" t="s">
        <v>264</v>
      </c>
      <c r="B192" s="4" t="s">
        <v>56</v>
      </c>
      <c r="C192" s="4" t="s">
        <v>25</v>
      </c>
      <c r="D192" s="5">
        <v>45028</v>
      </c>
      <c r="E192" s="6">
        <v>0.66666666666666674</v>
      </c>
      <c r="F192" s="4" t="s">
        <v>18</v>
      </c>
      <c r="G192" s="4" t="s">
        <v>19</v>
      </c>
      <c r="K192" t="s">
        <v>916</v>
      </c>
    </row>
    <row r="193" spans="1:7" x14ac:dyDescent="0.4">
      <c r="A193" s="4" t="s">
        <v>265</v>
      </c>
      <c r="B193" s="4" t="s">
        <v>252</v>
      </c>
      <c r="C193" s="4" t="s">
        <v>74</v>
      </c>
      <c r="D193" s="5">
        <v>45169</v>
      </c>
      <c r="E193" s="6">
        <v>0.59375</v>
      </c>
      <c r="F193" s="4" t="s">
        <v>18</v>
      </c>
      <c r="G193" s="4" t="s">
        <v>19</v>
      </c>
    </row>
    <row r="194" spans="1:7" x14ac:dyDescent="0.4">
      <c r="A194" s="4" t="s">
        <v>266</v>
      </c>
      <c r="B194" s="4" t="s">
        <v>100</v>
      </c>
      <c r="C194" s="4" t="s">
        <v>74</v>
      </c>
      <c r="D194" s="5">
        <v>45184</v>
      </c>
      <c r="E194" s="6">
        <v>0.34375</v>
      </c>
      <c r="F194" s="4" t="s">
        <v>10</v>
      </c>
      <c r="G194" s="4" t="s">
        <v>19</v>
      </c>
    </row>
    <row r="195" spans="1:7" x14ac:dyDescent="0.4">
      <c r="A195" s="4" t="s">
        <v>267</v>
      </c>
      <c r="B195" s="4" t="s">
        <v>154</v>
      </c>
      <c r="C195" s="4" t="s">
        <v>48</v>
      </c>
      <c r="D195" s="5">
        <v>45022</v>
      </c>
      <c r="E195" s="6">
        <v>0.53125</v>
      </c>
      <c r="F195" s="4" t="s">
        <v>10</v>
      </c>
      <c r="G195" s="4" t="s">
        <v>11</v>
      </c>
    </row>
    <row r="196" spans="1:7" x14ac:dyDescent="0.4">
      <c r="A196" s="4" t="s">
        <v>268</v>
      </c>
      <c r="B196" s="4" t="s">
        <v>17</v>
      </c>
      <c r="C196" s="4" t="s">
        <v>35</v>
      </c>
      <c r="D196" s="5">
        <v>45157</v>
      </c>
      <c r="E196" s="6">
        <v>0.71875</v>
      </c>
      <c r="F196" s="4" t="s">
        <v>29</v>
      </c>
      <c r="G196" s="4" t="s">
        <v>11</v>
      </c>
    </row>
    <row r="197" spans="1:7" x14ac:dyDescent="0.4">
      <c r="A197" s="4" t="s">
        <v>269</v>
      </c>
      <c r="B197" s="4" t="s">
        <v>28</v>
      </c>
      <c r="C197" s="4" t="s">
        <v>22</v>
      </c>
      <c r="D197" s="5">
        <v>45225</v>
      </c>
      <c r="E197" s="6">
        <v>0.40625</v>
      </c>
      <c r="F197" s="4" t="s">
        <v>29</v>
      </c>
      <c r="G197" s="4" t="s">
        <v>19</v>
      </c>
    </row>
    <row r="198" spans="1:7" x14ac:dyDescent="0.4">
      <c r="A198" s="4" t="s">
        <v>270</v>
      </c>
      <c r="B198" s="4" t="s">
        <v>31</v>
      </c>
      <c r="C198" s="4" t="s">
        <v>74</v>
      </c>
      <c r="D198" s="5">
        <v>45017</v>
      </c>
      <c r="E198" s="6">
        <v>0.5625</v>
      </c>
      <c r="F198" s="4" t="s">
        <v>26</v>
      </c>
      <c r="G198" s="4" t="s">
        <v>15</v>
      </c>
    </row>
    <row r="199" spans="1:7" x14ac:dyDescent="0.4">
      <c r="A199" s="4" t="s">
        <v>271</v>
      </c>
      <c r="B199" s="4" t="s">
        <v>43</v>
      </c>
      <c r="C199" s="4" t="s">
        <v>22</v>
      </c>
      <c r="D199" s="5">
        <v>45061</v>
      </c>
      <c r="E199" s="6">
        <v>0.35416666666666674</v>
      </c>
      <c r="F199" s="4" t="s">
        <v>10</v>
      </c>
      <c r="G199" s="4" t="s">
        <v>15</v>
      </c>
    </row>
    <row r="200" spans="1:7" x14ac:dyDescent="0.4">
      <c r="A200" s="4" t="s">
        <v>272</v>
      </c>
      <c r="B200" s="4" t="s">
        <v>151</v>
      </c>
      <c r="C200" s="4" t="s">
        <v>59</v>
      </c>
      <c r="D200" s="5">
        <v>45047</v>
      </c>
      <c r="E200" s="6">
        <v>0.53125</v>
      </c>
      <c r="F200" s="4" t="s">
        <v>38</v>
      </c>
      <c r="G200" s="4" t="s">
        <v>41</v>
      </c>
    </row>
    <row r="201" spans="1:7" x14ac:dyDescent="0.4">
      <c r="A201" s="4" t="s">
        <v>273</v>
      </c>
      <c r="B201" s="4" t="s">
        <v>163</v>
      </c>
      <c r="C201" s="4" t="s">
        <v>74</v>
      </c>
      <c r="D201" s="5">
        <v>45290</v>
      </c>
      <c r="E201" s="6">
        <v>0.42708333333333326</v>
      </c>
      <c r="F201" s="4" t="s">
        <v>18</v>
      </c>
      <c r="G201" s="4"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53A77-B6EA-4BA3-A589-A9CD7FA264C6}">
  <dimension ref="A1:K51"/>
  <sheetViews>
    <sheetView workbookViewId="0">
      <selection activeCell="M15" sqref="M15"/>
    </sheetView>
  </sheetViews>
  <sheetFormatPr defaultRowHeight="14.6" x14ac:dyDescent="0.4"/>
  <cols>
    <col min="1" max="1" width="11.61328125" bestFit="1" customWidth="1"/>
    <col min="2" max="2" width="12" bestFit="1" customWidth="1"/>
    <col min="3" max="3" width="11.69140625" bestFit="1" customWidth="1"/>
    <col min="4" max="4" width="8.84375" bestFit="1" customWidth="1"/>
    <col min="5" max="5" width="14.53515625" bestFit="1" customWidth="1"/>
    <col min="6" max="6" width="16.921875" bestFit="1" customWidth="1"/>
    <col min="7" max="7" width="11.84375" bestFit="1" customWidth="1"/>
    <col min="8" max="8" width="17.4609375" bestFit="1" customWidth="1"/>
    <col min="9" max="9" width="19.23046875" bestFit="1" customWidth="1"/>
    <col min="10" max="10" width="18.69140625" bestFit="1" customWidth="1"/>
    <col min="11" max="11" width="23.921875" bestFit="1" customWidth="1"/>
  </cols>
  <sheetData>
    <row r="1" spans="1:11" x14ac:dyDescent="0.4">
      <c r="A1" t="s">
        <v>1</v>
      </c>
      <c r="B1" t="s">
        <v>686</v>
      </c>
      <c r="C1" t="s">
        <v>687</v>
      </c>
      <c r="D1" t="s">
        <v>721</v>
      </c>
      <c r="E1" t="s">
        <v>722</v>
      </c>
      <c r="F1" t="s">
        <v>723</v>
      </c>
      <c r="G1" t="s">
        <v>724</v>
      </c>
      <c r="H1" t="s">
        <v>725</v>
      </c>
      <c r="I1" t="s">
        <v>726</v>
      </c>
      <c r="J1" t="s">
        <v>727</v>
      </c>
      <c r="K1" t="s">
        <v>692</v>
      </c>
    </row>
    <row r="2" spans="1:11" x14ac:dyDescent="0.4">
      <c r="A2" s="4" t="s">
        <v>31</v>
      </c>
      <c r="B2" s="4" t="s">
        <v>693</v>
      </c>
      <c r="C2" s="4" t="s">
        <v>728</v>
      </c>
      <c r="D2" s="4" t="s">
        <v>729</v>
      </c>
      <c r="E2" s="5">
        <v>20244</v>
      </c>
      <c r="F2" s="4">
        <v>6939585183</v>
      </c>
      <c r="G2" s="4" t="s">
        <v>730</v>
      </c>
      <c r="H2" s="5">
        <v>44735</v>
      </c>
      <c r="I2" s="4" t="s">
        <v>731</v>
      </c>
      <c r="J2" s="4" t="s">
        <v>732</v>
      </c>
      <c r="K2" s="4" t="s">
        <v>733</v>
      </c>
    </row>
    <row r="3" spans="1:11" x14ac:dyDescent="0.4">
      <c r="A3" s="4" t="s">
        <v>112</v>
      </c>
      <c r="B3" s="4" t="s">
        <v>734</v>
      </c>
      <c r="C3" s="4" t="s">
        <v>703</v>
      </c>
      <c r="D3" s="4" t="s">
        <v>729</v>
      </c>
      <c r="E3" s="5">
        <v>30967</v>
      </c>
      <c r="F3" s="4">
        <v>8228188767</v>
      </c>
      <c r="G3" s="4" t="s">
        <v>735</v>
      </c>
      <c r="H3" s="5">
        <v>44576</v>
      </c>
      <c r="I3" s="4" t="s">
        <v>736</v>
      </c>
      <c r="J3" s="4" t="s">
        <v>737</v>
      </c>
      <c r="K3" s="4" t="s">
        <v>738</v>
      </c>
    </row>
    <row r="4" spans="1:11" x14ac:dyDescent="0.4">
      <c r="A4" s="4" t="s">
        <v>47</v>
      </c>
      <c r="B4" s="4" t="s">
        <v>739</v>
      </c>
      <c r="C4" s="4" t="s">
        <v>705</v>
      </c>
      <c r="D4" s="4" t="s">
        <v>740</v>
      </c>
      <c r="E4" s="5">
        <v>28358</v>
      </c>
      <c r="F4" s="4">
        <v>8397029847</v>
      </c>
      <c r="G4" s="4" t="s">
        <v>735</v>
      </c>
      <c r="H4" s="5">
        <v>44599</v>
      </c>
      <c r="I4" s="4" t="s">
        <v>736</v>
      </c>
      <c r="J4" s="4" t="s">
        <v>741</v>
      </c>
      <c r="K4" s="4" t="s">
        <v>742</v>
      </c>
    </row>
    <row r="5" spans="1:11" x14ac:dyDescent="0.4">
      <c r="A5" s="4" t="s">
        <v>106</v>
      </c>
      <c r="B5" s="4" t="s">
        <v>743</v>
      </c>
      <c r="C5" s="4" t="s">
        <v>744</v>
      </c>
      <c r="D5" s="4" t="s">
        <v>729</v>
      </c>
      <c r="E5" s="5">
        <v>29637</v>
      </c>
      <c r="F5" s="4">
        <v>9019443432</v>
      </c>
      <c r="G5" s="4" t="s">
        <v>745</v>
      </c>
      <c r="H5" s="5">
        <v>44257</v>
      </c>
      <c r="I5" s="4" t="s">
        <v>746</v>
      </c>
      <c r="J5" s="4" t="s">
        <v>747</v>
      </c>
      <c r="K5" s="4" t="s">
        <v>748</v>
      </c>
    </row>
    <row r="6" spans="1:11" x14ac:dyDescent="0.4">
      <c r="A6" s="4" t="s">
        <v>40</v>
      </c>
      <c r="B6" s="4" t="s">
        <v>693</v>
      </c>
      <c r="C6" s="4" t="s">
        <v>719</v>
      </c>
      <c r="D6" s="4" t="s">
        <v>740</v>
      </c>
      <c r="E6" s="5">
        <v>22090</v>
      </c>
      <c r="F6" s="4">
        <v>7734463155</v>
      </c>
      <c r="G6" s="4" t="s">
        <v>745</v>
      </c>
      <c r="H6" s="5">
        <v>44468</v>
      </c>
      <c r="I6" s="4" t="s">
        <v>749</v>
      </c>
      <c r="J6" s="4" t="s">
        <v>750</v>
      </c>
      <c r="K6" s="4" t="s">
        <v>751</v>
      </c>
    </row>
    <row r="7" spans="1:11" x14ac:dyDescent="0.4">
      <c r="A7" s="4" t="s">
        <v>752</v>
      </c>
      <c r="B7" s="4" t="s">
        <v>715</v>
      </c>
      <c r="C7" s="4" t="s">
        <v>705</v>
      </c>
      <c r="D7" s="4" t="s">
        <v>740</v>
      </c>
      <c r="E7" s="5">
        <v>23178</v>
      </c>
      <c r="F7" s="4">
        <v>7561777264</v>
      </c>
      <c r="G7" s="4" t="s">
        <v>735</v>
      </c>
      <c r="H7" s="5">
        <v>44836</v>
      </c>
      <c r="I7" s="4" t="s">
        <v>746</v>
      </c>
      <c r="J7" s="4" t="s">
        <v>753</v>
      </c>
      <c r="K7" s="4" t="s">
        <v>754</v>
      </c>
    </row>
    <row r="8" spans="1:11" x14ac:dyDescent="0.4">
      <c r="A8" s="4" t="s">
        <v>163</v>
      </c>
      <c r="B8" s="4" t="s">
        <v>710</v>
      </c>
      <c r="C8" s="4" t="s">
        <v>744</v>
      </c>
      <c r="D8" s="4" t="s">
        <v>729</v>
      </c>
      <c r="E8" s="5">
        <v>32667</v>
      </c>
      <c r="F8" s="4">
        <v>6278710077</v>
      </c>
      <c r="G8" s="4" t="s">
        <v>730</v>
      </c>
      <c r="H8" s="5">
        <v>44555</v>
      </c>
      <c r="I8" s="4" t="s">
        <v>749</v>
      </c>
      <c r="J8" s="4" t="s">
        <v>755</v>
      </c>
      <c r="K8" s="4" t="s">
        <v>756</v>
      </c>
    </row>
    <row r="9" spans="1:11" x14ac:dyDescent="0.4">
      <c r="A9" s="4" t="s">
        <v>154</v>
      </c>
      <c r="B9" s="4" t="s">
        <v>693</v>
      </c>
      <c r="C9" s="4" t="s">
        <v>699</v>
      </c>
      <c r="D9" s="4" t="s">
        <v>729</v>
      </c>
      <c r="E9" s="5">
        <v>27946</v>
      </c>
      <c r="F9" s="4">
        <v>7090558393</v>
      </c>
      <c r="G9" s="4" t="s">
        <v>757</v>
      </c>
      <c r="H9" s="5">
        <v>44341</v>
      </c>
      <c r="I9" s="4" t="s">
        <v>731</v>
      </c>
      <c r="J9" s="4" t="s">
        <v>758</v>
      </c>
      <c r="K9" s="4" t="s">
        <v>759</v>
      </c>
    </row>
    <row r="10" spans="1:11" x14ac:dyDescent="0.4">
      <c r="A10" s="4" t="s">
        <v>177</v>
      </c>
      <c r="B10" s="4" t="s">
        <v>739</v>
      </c>
      <c r="C10" s="4" t="s">
        <v>699</v>
      </c>
      <c r="D10" s="4" t="s">
        <v>740</v>
      </c>
      <c r="E10" s="5">
        <v>26278</v>
      </c>
      <c r="F10" s="4">
        <v>7060324619</v>
      </c>
      <c r="G10" s="4" t="s">
        <v>735</v>
      </c>
      <c r="H10" s="5">
        <v>44822</v>
      </c>
      <c r="I10" s="4" t="s">
        <v>736</v>
      </c>
      <c r="J10" s="4" t="s">
        <v>760</v>
      </c>
      <c r="K10" s="4" t="s">
        <v>761</v>
      </c>
    </row>
    <row r="11" spans="1:11" x14ac:dyDescent="0.4">
      <c r="A11" s="4" t="s">
        <v>92</v>
      </c>
      <c r="B11" s="4" t="s">
        <v>743</v>
      </c>
      <c r="C11" s="4" t="s">
        <v>694</v>
      </c>
      <c r="D11" s="4" t="s">
        <v>740</v>
      </c>
      <c r="E11" s="5">
        <v>37177</v>
      </c>
      <c r="F11" s="4">
        <v>7081396733</v>
      </c>
      <c r="G11" s="4" t="s">
        <v>745</v>
      </c>
      <c r="H11" s="5">
        <v>44797</v>
      </c>
      <c r="I11" s="4" t="s">
        <v>731</v>
      </c>
      <c r="J11" s="4" t="s">
        <v>762</v>
      </c>
      <c r="K11" s="4" t="s">
        <v>763</v>
      </c>
    </row>
    <row r="12" spans="1:11" x14ac:dyDescent="0.4">
      <c r="A12" s="4" t="s">
        <v>168</v>
      </c>
      <c r="B12" s="4" t="s">
        <v>734</v>
      </c>
      <c r="C12" s="4" t="s">
        <v>705</v>
      </c>
      <c r="D12" s="4" t="s">
        <v>729</v>
      </c>
      <c r="E12" s="5">
        <v>24445</v>
      </c>
      <c r="F12" s="4">
        <v>8990604070</v>
      </c>
      <c r="G12" s="4" t="s">
        <v>730</v>
      </c>
      <c r="H12" s="5">
        <v>44831</v>
      </c>
      <c r="I12" s="4" t="s">
        <v>749</v>
      </c>
      <c r="J12" s="4" t="s">
        <v>764</v>
      </c>
      <c r="K12" s="4" t="s">
        <v>765</v>
      </c>
    </row>
    <row r="13" spans="1:11" x14ac:dyDescent="0.4">
      <c r="A13" s="4" t="s">
        <v>50</v>
      </c>
      <c r="B13" s="4" t="s">
        <v>739</v>
      </c>
      <c r="C13" s="4" t="s">
        <v>699</v>
      </c>
      <c r="D13" s="4" t="s">
        <v>729</v>
      </c>
      <c r="E13" s="5">
        <v>33580</v>
      </c>
      <c r="F13" s="4">
        <v>8135666049</v>
      </c>
      <c r="G13" s="4" t="s">
        <v>735</v>
      </c>
      <c r="H13" s="5">
        <v>45043</v>
      </c>
      <c r="I13" s="4" t="s">
        <v>749</v>
      </c>
      <c r="J13" s="4" t="s">
        <v>766</v>
      </c>
      <c r="K13" s="4" t="s">
        <v>761</v>
      </c>
    </row>
    <row r="14" spans="1:11" x14ac:dyDescent="0.4">
      <c r="A14" s="4" t="s">
        <v>142</v>
      </c>
      <c r="B14" s="4" t="s">
        <v>739</v>
      </c>
      <c r="C14" s="4" t="s">
        <v>744</v>
      </c>
      <c r="D14" s="4" t="s">
        <v>729</v>
      </c>
      <c r="E14" s="5">
        <v>32960</v>
      </c>
      <c r="F14" s="4">
        <v>9059178882</v>
      </c>
      <c r="G14" s="4" t="s">
        <v>735</v>
      </c>
      <c r="H14" s="5">
        <v>44553</v>
      </c>
      <c r="I14" s="4" t="s">
        <v>731</v>
      </c>
      <c r="J14" s="4" t="s">
        <v>767</v>
      </c>
      <c r="K14" s="4" t="s">
        <v>768</v>
      </c>
    </row>
    <row r="15" spans="1:11" x14ac:dyDescent="0.4">
      <c r="A15" s="4" t="s">
        <v>61</v>
      </c>
      <c r="B15" s="4" t="s">
        <v>710</v>
      </c>
      <c r="C15" s="4" t="s">
        <v>694</v>
      </c>
      <c r="D15" s="4" t="s">
        <v>740</v>
      </c>
      <c r="E15" s="5">
        <v>24895</v>
      </c>
      <c r="F15" s="4">
        <v>7292262512</v>
      </c>
      <c r="G15" s="4" t="s">
        <v>730</v>
      </c>
      <c r="H15" s="5">
        <v>45272</v>
      </c>
      <c r="I15" s="4" t="s">
        <v>749</v>
      </c>
      <c r="J15" s="4" t="s">
        <v>769</v>
      </c>
      <c r="K15" s="4" t="s">
        <v>770</v>
      </c>
    </row>
    <row r="16" spans="1:11" x14ac:dyDescent="0.4">
      <c r="A16" s="4" t="s">
        <v>771</v>
      </c>
      <c r="B16" s="4" t="s">
        <v>708</v>
      </c>
      <c r="C16" s="4" t="s">
        <v>744</v>
      </c>
      <c r="D16" s="4" t="s">
        <v>740</v>
      </c>
      <c r="E16" s="5">
        <v>23508</v>
      </c>
      <c r="F16" s="4">
        <v>6636028516</v>
      </c>
      <c r="G16" s="4" t="s">
        <v>735</v>
      </c>
      <c r="H16" s="5">
        <v>44464</v>
      </c>
      <c r="I16" s="4" t="s">
        <v>731</v>
      </c>
      <c r="J16" s="4" t="s">
        <v>772</v>
      </c>
      <c r="K16" s="4" t="s">
        <v>773</v>
      </c>
    </row>
    <row r="17" spans="1:11" x14ac:dyDescent="0.4">
      <c r="A17" s="4" t="s">
        <v>34</v>
      </c>
      <c r="B17" s="4" t="s">
        <v>743</v>
      </c>
      <c r="C17" s="4" t="s">
        <v>694</v>
      </c>
      <c r="D17" s="4" t="s">
        <v>740</v>
      </c>
      <c r="E17" s="5">
        <v>36729</v>
      </c>
      <c r="F17" s="4">
        <v>7223380592</v>
      </c>
      <c r="G17" s="4" t="s">
        <v>730</v>
      </c>
      <c r="H17" s="5">
        <v>44400</v>
      </c>
      <c r="I17" s="4" t="s">
        <v>736</v>
      </c>
      <c r="J17" s="4" t="s">
        <v>774</v>
      </c>
      <c r="K17" s="4" t="s">
        <v>763</v>
      </c>
    </row>
    <row r="18" spans="1:11" x14ac:dyDescent="0.4">
      <c r="A18" s="4" t="s">
        <v>151</v>
      </c>
      <c r="B18" s="4" t="s">
        <v>698</v>
      </c>
      <c r="C18" s="4" t="s">
        <v>705</v>
      </c>
      <c r="D18" s="4" t="s">
        <v>740</v>
      </c>
      <c r="E18" s="5">
        <v>33359</v>
      </c>
      <c r="F18" s="4">
        <v>6158428240</v>
      </c>
      <c r="G18" s="4" t="s">
        <v>757</v>
      </c>
      <c r="H18" s="5">
        <v>44830</v>
      </c>
      <c r="I18" s="4" t="s">
        <v>731</v>
      </c>
      <c r="J18" s="4" t="s">
        <v>775</v>
      </c>
      <c r="K18" s="4" t="s">
        <v>776</v>
      </c>
    </row>
    <row r="19" spans="1:11" x14ac:dyDescent="0.4">
      <c r="A19" s="4" t="s">
        <v>185</v>
      </c>
      <c r="B19" s="4" t="s">
        <v>739</v>
      </c>
      <c r="C19" s="4" t="s">
        <v>719</v>
      </c>
      <c r="D19" s="4" t="s">
        <v>740</v>
      </c>
      <c r="E19" s="5">
        <v>29122</v>
      </c>
      <c r="F19" s="4">
        <v>7145815738</v>
      </c>
      <c r="G19" s="4" t="s">
        <v>730</v>
      </c>
      <c r="H19" s="5">
        <v>44827</v>
      </c>
      <c r="I19" s="4" t="s">
        <v>736</v>
      </c>
      <c r="J19" s="4" t="s">
        <v>777</v>
      </c>
      <c r="K19" s="4" t="s">
        <v>778</v>
      </c>
    </row>
    <row r="20" spans="1:11" x14ac:dyDescent="0.4">
      <c r="A20" s="4" t="s">
        <v>100</v>
      </c>
      <c r="B20" s="4" t="s">
        <v>708</v>
      </c>
      <c r="C20" s="4" t="s">
        <v>779</v>
      </c>
      <c r="D20" s="4" t="s">
        <v>740</v>
      </c>
      <c r="E20" s="5">
        <v>27538</v>
      </c>
      <c r="F20" s="4">
        <v>8618058864</v>
      </c>
      <c r="G20" s="4" t="s">
        <v>730</v>
      </c>
      <c r="H20" s="5">
        <v>45101</v>
      </c>
      <c r="I20" s="4" t="s">
        <v>731</v>
      </c>
      <c r="J20" s="4" t="s">
        <v>780</v>
      </c>
      <c r="K20" s="4" t="s">
        <v>781</v>
      </c>
    </row>
    <row r="21" spans="1:11" x14ac:dyDescent="0.4">
      <c r="A21" s="4" t="s">
        <v>119</v>
      </c>
      <c r="B21" s="4" t="s">
        <v>698</v>
      </c>
      <c r="C21" s="4" t="s">
        <v>782</v>
      </c>
      <c r="D21" s="4" t="s">
        <v>729</v>
      </c>
      <c r="E21" s="5">
        <v>37778</v>
      </c>
      <c r="F21" s="4">
        <v>8158989953</v>
      </c>
      <c r="G21" s="4" t="s">
        <v>730</v>
      </c>
      <c r="H21" s="5">
        <v>44654</v>
      </c>
      <c r="I21" s="4" t="s">
        <v>749</v>
      </c>
      <c r="J21" s="4" t="s">
        <v>783</v>
      </c>
      <c r="K21" s="4" t="s">
        <v>784</v>
      </c>
    </row>
    <row r="22" spans="1:11" x14ac:dyDescent="0.4">
      <c r="A22" s="4" t="s">
        <v>81</v>
      </c>
      <c r="B22" s="4" t="s">
        <v>743</v>
      </c>
      <c r="C22" s="4" t="s">
        <v>719</v>
      </c>
      <c r="D22" s="4" t="s">
        <v>740</v>
      </c>
      <c r="E22" s="5">
        <v>37316</v>
      </c>
      <c r="F22" s="4">
        <v>7765390555</v>
      </c>
      <c r="G22" s="4" t="s">
        <v>735</v>
      </c>
      <c r="H22" s="5">
        <v>44580</v>
      </c>
      <c r="I22" s="4" t="s">
        <v>731</v>
      </c>
      <c r="J22" s="4" t="s">
        <v>785</v>
      </c>
      <c r="K22" s="4" t="s">
        <v>786</v>
      </c>
    </row>
    <row r="23" spans="1:11" x14ac:dyDescent="0.4">
      <c r="A23" s="4" t="s">
        <v>43</v>
      </c>
      <c r="B23" s="4" t="s">
        <v>787</v>
      </c>
      <c r="C23" s="4" t="s">
        <v>716</v>
      </c>
      <c r="D23" s="4" t="s">
        <v>740</v>
      </c>
      <c r="E23" s="5">
        <v>20219</v>
      </c>
      <c r="F23" s="4">
        <v>6221099573</v>
      </c>
      <c r="G23" s="4" t="s">
        <v>735</v>
      </c>
      <c r="H23" s="5">
        <v>44327</v>
      </c>
      <c r="I23" s="4" t="s">
        <v>749</v>
      </c>
      <c r="J23" s="4" t="s">
        <v>788</v>
      </c>
      <c r="K23" s="4" t="s">
        <v>789</v>
      </c>
    </row>
    <row r="24" spans="1:11" x14ac:dyDescent="0.4">
      <c r="A24" s="4" t="s">
        <v>90</v>
      </c>
      <c r="B24" s="4" t="s">
        <v>715</v>
      </c>
      <c r="C24" s="4" t="s">
        <v>744</v>
      </c>
      <c r="D24" s="4" t="s">
        <v>740</v>
      </c>
      <c r="E24" s="5">
        <v>34387</v>
      </c>
      <c r="F24" s="4">
        <v>6141951830</v>
      </c>
      <c r="G24" s="4" t="s">
        <v>730</v>
      </c>
      <c r="H24" s="5">
        <v>44557</v>
      </c>
      <c r="I24" s="4" t="s">
        <v>731</v>
      </c>
      <c r="J24" s="4" t="s">
        <v>790</v>
      </c>
      <c r="K24" s="4" t="s">
        <v>791</v>
      </c>
    </row>
    <row r="25" spans="1:11" x14ac:dyDescent="0.4">
      <c r="A25" s="4" t="s">
        <v>109</v>
      </c>
      <c r="B25" s="4" t="s">
        <v>708</v>
      </c>
      <c r="C25" s="4" t="s">
        <v>716</v>
      </c>
      <c r="D25" s="4" t="s">
        <v>729</v>
      </c>
      <c r="E25" s="5">
        <v>33546</v>
      </c>
      <c r="F25" s="4">
        <v>7196777444</v>
      </c>
      <c r="G25" s="4" t="s">
        <v>735</v>
      </c>
      <c r="H25" s="5">
        <v>44441</v>
      </c>
      <c r="I25" s="4" t="s">
        <v>731</v>
      </c>
      <c r="J25" s="4" t="s">
        <v>792</v>
      </c>
      <c r="K25" s="4" t="s">
        <v>793</v>
      </c>
    </row>
    <row r="26" spans="1:11" x14ac:dyDescent="0.4">
      <c r="A26" s="4" t="s">
        <v>21</v>
      </c>
      <c r="B26" s="4" t="s">
        <v>712</v>
      </c>
      <c r="C26" s="4" t="s">
        <v>719</v>
      </c>
      <c r="D26" s="4" t="s">
        <v>740</v>
      </c>
      <c r="E26" s="5">
        <v>24333</v>
      </c>
      <c r="F26" s="4">
        <v>7482069727</v>
      </c>
      <c r="G26" s="4" t="s">
        <v>745</v>
      </c>
      <c r="H26" s="5">
        <v>44448</v>
      </c>
      <c r="I26" s="4" t="s">
        <v>746</v>
      </c>
      <c r="J26" s="4" t="s">
        <v>794</v>
      </c>
      <c r="K26" s="4" t="s">
        <v>795</v>
      </c>
    </row>
    <row r="27" spans="1:11" x14ac:dyDescent="0.4">
      <c r="A27" s="4" t="s">
        <v>52</v>
      </c>
      <c r="B27" s="4" t="s">
        <v>787</v>
      </c>
      <c r="C27" s="4" t="s">
        <v>694</v>
      </c>
      <c r="D27" s="4" t="s">
        <v>740</v>
      </c>
      <c r="E27" s="5">
        <v>37953</v>
      </c>
      <c r="F27" s="4">
        <v>9900972256</v>
      </c>
      <c r="G27" s="4" t="s">
        <v>745</v>
      </c>
      <c r="H27" s="5">
        <v>44329</v>
      </c>
      <c r="I27" s="4" t="s">
        <v>749</v>
      </c>
      <c r="J27" s="4" t="s">
        <v>796</v>
      </c>
      <c r="K27" s="4" t="s">
        <v>797</v>
      </c>
    </row>
    <row r="28" spans="1:11" x14ac:dyDescent="0.4">
      <c r="A28" s="4" t="s">
        <v>117</v>
      </c>
      <c r="B28" s="4" t="s">
        <v>715</v>
      </c>
      <c r="C28" s="4" t="s">
        <v>782</v>
      </c>
      <c r="D28" s="4" t="s">
        <v>729</v>
      </c>
      <c r="E28" s="5">
        <v>35975</v>
      </c>
      <c r="F28" s="4">
        <v>8724518272</v>
      </c>
      <c r="G28" s="4" t="s">
        <v>735</v>
      </c>
      <c r="H28" s="5">
        <v>44423</v>
      </c>
      <c r="I28" s="4" t="s">
        <v>746</v>
      </c>
      <c r="J28" s="4" t="s">
        <v>798</v>
      </c>
      <c r="K28" s="4" t="s">
        <v>799</v>
      </c>
    </row>
    <row r="29" spans="1:11" x14ac:dyDescent="0.4">
      <c r="A29" s="4" t="s">
        <v>63</v>
      </c>
      <c r="B29" s="4" t="s">
        <v>710</v>
      </c>
      <c r="C29" s="4" t="s">
        <v>782</v>
      </c>
      <c r="D29" s="4" t="s">
        <v>740</v>
      </c>
      <c r="E29" s="5">
        <v>34072</v>
      </c>
      <c r="F29" s="4">
        <v>7028910482</v>
      </c>
      <c r="G29" s="4" t="s">
        <v>735</v>
      </c>
      <c r="H29" s="5">
        <v>45066</v>
      </c>
      <c r="I29" s="4" t="s">
        <v>749</v>
      </c>
      <c r="J29" s="4" t="s">
        <v>800</v>
      </c>
      <c r="K29" s="4" t="s">
        <v>801</v>
      </c>
    </row>
    <row r="30" spans="1:11" x14ac:dyDescent="0.4">
      <c r="A30" s="4" t="s">
        <v>45</v>
      </c>
      <c r="B30" s="4" t="s">
        <v>693</v>
      </c>
      <c r="C30" s="4" t="s">
        <v>703</v>
      </c>
      <c r="D30" s="4" t="s">
        <v>740</v>
      </c>
      <c r="E30" s="5">
        <v>38487</v>
      </c>
      <c r="F30" s="4">
        <v>8923607677</v>
      </c>
      <c r="G30" s="4" t="s">
        <v>730</v>
      </c>
      <c r="H30" s="5">
        <v>45035</v>
      </c>
      <c r="I30" s="4" t="s">
        <v>746</v>
      </c>
      <c r="J30" s="4" t="s">
        <v>802</v>
      </c>
      <c r="K30" s="4" t="s">
        <v>803</v>
      </c>
    </row>
    <row r="31" spans="1:11" x14ac:dyDescent="0.4">
      <c r="A31" s="4" t="s">
        <v>70</v>
      </c>
      <c r="B31" s="4" t="s">
        <v>734</v>
      </c>
      <c r="C31" s="4" t="s">
        <v>782</v>
      </c>
      <c r="D31" s="4" t="s">
        <v>740</v>
      </c>
      <c r="E31" s="5">
        <v>23734</v>
      </c>
      <c r="F31" s="4">
        <v>6622318721</v>
      </c>
      <c r="G31" s="4" t="s">
        <v>757</v>
      </c>
      <c r="H31" s="5">
        <v>44415</v>
      </c>
      <c r="I31" s="4" t="s">
        <v>736</v>
      </c>
      <c r="J31" s="4" t="s">
        <v>804</v>
      </c>
      <c r="K31" s="4" t="s">
        <v>805</v>
      </c>
    </row>
    <row r="32" spans="1:11" x14ac:dyDescent="0.4">
      <c r="A32" s="4" t="s">
        <v>97</v>
      </c>
      <c r="B32" s="4" t="s">
        <v>712</v>
      </c>
      <c r="C32" s="4" t="s">
        <v>779</v>
      </c>
      <c r="D32" s="4" t="s">
        <v>740</v>
      </c>
      <c r="E32" s="5">
        <v>31791</v>
      </c>
      <c r="F32" s="4">
        <v>8280346676</v>
      </c>
      <c r="G32" s="4" t="s">
        <v>735</v>
      </c>
      <c r="H32" s="5">
        <v>44740</v>
      </c>
      <c r="I32" s="4" t="s">
        <v>731</v>
      </c>
      <c r="J32" s="4" t="s">
        <v>806</v>
      </c>
      <c r="K32" s="4" t="s">
        <v>807</v>
      </c>
    </row>
    <row r="33" spans="1:11" x14ac:dyDescent="0.4">
      <c r="A33" s="4" t="s">
        <v>13</v>
      </c>
      <c r="B33" s="4" t="s">
        <v>710</v>
      </c>
      <c r="C33" s="4" t="s">
        <v>782</v>
      </c>
      <c r="D33" s="4" t="s">
        <v>740</v>
      </c>
      <c r="E33" s="5">
        <v>29594</v>
      </c>
      <c r="F33" s="4">
        <v>8102183595</v>
      </c>
      <c r="G33" s="4" t="s">
        <v>745</v>
      </c>
      <c r="H33" s="5">
        <v>44471</v>
      </c>
      <c r="I33" s="4" t="s">
        <v>749</v>
      </c>
      <c r="J33" s="4" t="s">
        <v>808</v>
      </c>
      <c r="K33" s="4" t="s">
        <v>801</v>
      </c>
    </row>
    <row r="34" spans="1:11" x14ac:dyDescent="0.4">
      <c r="A34" s="4" t="s">
        <v>86</v>
      </c>
      <c r="B34" s="4" t="s">
        <v>743</v>
      </c>
      <c r="C34" s="4" t="s">
        <v>719</v>
      </c>
      <c r="D34" s="4" t="s">
        <v>729</v>
      </c>
      <c r="E34" s="5">
        <v>25605</v>
      </c>
      <c r="F34" s="4">
        <v>7923214041</v>
      </c>
      <c r="G34" s="4" t="s">
        <v>730</v>
      </c>
      <c r="H34" s="5">
        <v>45175</v>
      </c>
      <c r="I34" s="4" t="s">
        <v>749</v>
      </c>
      <c r="J34" s="4" t="s">
        <v>809</v>
      </c>
      <c r="K34" s="4" t="s">
        <v>786</v>
      </c>
    </row>
    <row r="35" spans="1:11" x14ac:dyDescent="0.4">
      <c r="A35" s="4" t="s">
        <v>8</v>
      </c>
      <c r="B35" s="4" t="s">
        <v>710</v>
      </c>
      <c r="C35" s="4" t="s">
        <v>703</v>
      </c>
      <c r="D35" s="4" t="s">
        <v>729</v>
      </c>
      <c r="E35" s="5">
        <v>18289</v>
      </c>
      <c r="F35" s="4">
        <v>8374657733</v>
      </c>
      <c r="G35" s="4" t="s">
        <v>735</v>
      </c>
      <c r="H35" s="5">
        <v>45095</v>
      </c>
      <c r="I35" s="4" t="s">
        <v>731</v>
      </c>
      <c r="J35" s="4" t="s">
        <v>810</v>
      </c>
      <c r="K35" s="4" t="s">
        <v>811</v>
      </c>
    </row>
    <row r="36" spans="1:11" x14ac:dyDescent="0.4">
      <c r="A36" s="4" t="s">
        <v>125</v>
      </c>
      <c r="B36" s="4" t="s">
        <v>693</v>
      </c>
      <c r="C36" s="4" t="s">
        <v>719</v>
      </c>
      <c r="D36" s="4" t="s">
        <v>729</v>
      </c>
      <c r="E36" s="5">
        <v>34072</v>
      </c>
      <c r="F36" s="4">
        <v>7039619487</v>
      </c>
      <c r="G36" s="4" t="s">
        <v>745</v>
      </c>
      <c r="H36" s="5">
        <v>45116</v>
      </c>
      <c r="I36" s="4" t="s">
        <v>749</v>
      </c>
      <c r="J36" s="4" t="s">
        <v>812</v>
      </c>
      <c r="K36" s="4" t="s">
        <v>751</v>
      </c>
    </row>
    <row r="37" spans="1:11" x14ac:dyDescent="0.4">
      <c r="A37" s="4" t="s">
        <v>84</v>
      </c>
      <c r="B37" s="4" t="s">
        <v>743</v>
      </c>
      <c r="C37" s="4" t="s">
        <v>719</v>
      </c>
      <c r="D37" s="4" t="s">
        <v>740</v>
      </c>
      <c r="E37" s="5">
        <v>35790</v>
      </c>
      <c r="F37" s="4">
        <v>8545613046</v>
      </c>
      <c r="G37" s="4" t="s">
        <v>745</v>
      </c>
      <c r="H37" s="5">
        <v>44838</v>
      </c>
      <c r="I37" s="4" t="s">
        <v>749</v>
      </c>
      <c r="J37" s="4" t="s">
        <v>813</v>
      </c>
      <c r="K37" s="4" t="s">
        <v>786</v>
      </c>
    </row>
    <row r="38" spans="1:11" x14ac:dyDescent="0.4">
      <c r="A38" s="4" t="s">
        <v>56</v>
      </c>
      <c r="B38" s="4" t="s">
        <v>712</v>
      </c>
      <c r="C38" s="4" t="s">
        <v>728</v>
      </c>
      <c r="D38" s="4" t="s">
        <v>740</v>
      </c>
      <c r="E38" s="5">
        <v>36196</v>
      </c>
      <c r="F38" s="4">
        <v>8886800195</v>
      </c>
      <c r="G38" s="4" t="s">
        <v>757</v>
      </c>
      <c r="H38" s="5">
        <v>44469</v>
      </c>
      <c r="I38" s="4" t="s">
        <v>746</v>
      </c>
      <c r="J38" s="4" t="s">
        <v>814</v>
      </c>
      <c r="K38" s="4" t="s">
        <v>815</v>
      </c>
    </row>
    <row r="39" spans="1:11" x14ac:dyDescent="0.4">
      <c r="A39" s="4" t="s">
        <v>252</v>
      </c>
      <c r="B39" s="4" t="s">
        <v>693</v>
      </c>
      <c r="C39" s="4" t="s">
        <v>703</v>
      </c>
      <c r="D39" s="4" t="s">
        <v>740</v>
      </c>
      <c r="E39" s="5">
        <v>33414</v>
      </c>
      <c r="F39" s="4">
        <v>6347262390</v>
      </c>
      <c r="G39" s="4" t="s">
        <v>730</v>
      </c>
      <c r="H39" s="5">
        <v>44305</v>
      </c>
      <c r="I39" s="4" t="s">
        <v>749</v>
      </c>
      <c r="J39" s="4" t="s">
        <v>816</v>
      </c>
      <c r="K39" s="4" t="s">
        <v>803</v>
      </c>
    </row>
    <row r="40" spans="1:11" x14ac:dyDescent="0.4">
      <c r="A40" s="4" t="s">
        <v>37</v>
      </c>
      <c r="B40" s="4" t="s">
        <v>698</v>
      </c>
      <c r="C40" s="4" t="s">
        <v>719</v>
      </c>
      <c r="D40" s="4" t="s">
        <v>729</v>
      </c>
      <c r="E40" s="5">
        <v>18609</v>
      </c>
      <c r="F40" s="4">
        <v>9271131338</v>
      </c>
      <c r="G40" s="4" t="s">
        <v>730</v>
      </c>
      <c r="H40" s="5">
        <v>44264</v>
      </c>
      <c r="I40" s="4" t="s">
        <v>736</v>
      </c>
      <c r="J40" s="4" t="s">
        <v>817</v>
      </c>
      <c r="K40" s="4" t="s">
        <v>818</v>
      </c>
    </row>
    <row r="41" spans="1:11" x14ac:dyDescent="0.4">
      <c r="A41" s="4" t="s">
        <v>24</v>
      </c>
      <c r="B41" s="4" t="s">
        <v>734</v>
      </c>
      <c r="C41" s="4" t="s">
        <v>728</v>
      </c>
      <c r="D41" s="4" t="s">
        <v>740</v>
      </c>
      <c r="E41" s="5">
        <v>26449</v>
      </c>
      <c r="F41" s="4">
        <v>7587653815</v>
      </c>
      <c r="G41" s="4" t="s">
        <v>757</v>
      </c>
      <c r="H41" s="5">
        <v>44485</v>
      </c>
      <c r="I41" s="4" t="s">
        <v>736</v>
      </c>
      <c r="J41" s="4" t="s">
        <v>819</v>
      </c>
      <c r="K41" s="4" t="s">
        <v>820</v>
      </c>
    </row>
    <row r="42" spans="1:11" x14ac:dyDescent="0.4">
      <c r="A42" s="4" t="s">
        <v>161</v>
      </c>
      <c r="B42" s="4" t="s">
        <v>712</v>
      </c>
      <c r="C42" s="4" t="s">
        <v>728</v>
      </c>
      <c r="D42" s="4" t="s">
        <v>740</v>
      </c>
      <c r="E42" s="5">
        <v>18798</v>
      </c>
      <c r="F42" s="4">
        <v>7020645498</v>
      </c>
      <c r="G42" s="4" t="s">
        <v>757</v>
      </c>
      <c r="H42" s="5">
        <v>44758</v>
      </c>
      <c r="I42" s="4" t="s">
        <v>731</v>
      </c>
      <c r="J42" s="4" t="s">
        <v>821</v>
      </c>
      <c r="K42" s="4" t="s">
        <v>815</v>
      </c>
    </row>
    <row r="43" spans="1:11" x14ac:dyDescent="0.4">
      <c r="A43" s="4" t="s">
        <v>234</v>
      </c>
      <c r="B43" s="4" t="s">
        <v>698</v>
      </c>
      <c r="C43" s="4" t="s">
        <v>703</v>
      </c>
      <c r="D43" s="4" t="s">
        <v>729</v>
      </c>
      <c r="E43" s="5">
        <v>19958</v>
      </c>
      <c r="F43" s="4">
        <v>7040069008</v>
      </c>
      <c r="G43" s="4" t="s">
        <v>730</v>
      </c>
      <c r="H43" s="5">
        <v>44635</v>
      </c>
      <c r="I43" s="4" t="s">
        <v>749</v>
      </c>
      <c r="J43" s="4" t="s">
        <v>822</v>
      </c>
      <c r="K43" s="4" t="s">
        <v>823</v>
      </c>
    </row>
    <row r="44" spans="1:11" x14ac:dyDescent="0.4">
      <c r="A44" s="4" t="s">
        <v>129</v>
      </c>
      <c r="B44" s="4" t="s">
        <v>715</v>
      </c>
      <c r="C44" s="4" t="s">
        <v>716</v>
      </c>
      <c r="D44" s="4" t="s">
        <v>740</v>
      </c>
      <c r="E44" s="5">
        <v>29305</v>
      </c>
      <c r="F44" s="4">
        <v>9127665406</v>
      </c>
      <c r="G44" s="4" t="s">
        <v>730</v>
      </c>
      <c r="H44" s="5">
        <v>44760</v>
      </c>
      <c r="I44" s="4" t="s">
        <v>731</v>
      </c>
      <c r="J44" s="4" t="s">
        <v>824</v>
      </c>
      <c r="K44" s="4" t="s">
        <v>825</v>
      </c>
    </row>
    <row r="45" spans="1:11" x14ac:dyDescent="0.4">
      <c r="A45" s="4" t="s">
        <v>139</v>
      </c>
      <c r="B45" s="4" t="s">
        <v>712</v>
      </c>
      <c r="C45" s="4" t="s">
        <v>694</v>
      </c>
      <c r="D45" s="4" t="s">
        <v>729</v>
      </c>
      <c r="E45" s="5">
        <v>27830</v>
      </c>
      <c r="F45" s="4">
        <v>9449458981</v>
      </c>
      <c r="G45" s="4" t="s">
        <v>735</v>
      </c>
      <c r="H45" s="5">
        <v>44952</v>
      </c>
      <c r="I45" s="4" t="s">
        <v>736</v>
      </c>
      <c r="J45" s="4" t="s">
        <v>826</v>
      </c>
      <c r="K45" s="4" t="s">
        <v>827</v>
      </c>
    </row>
    <row r="46" spans="1:11" x14ac:dyDescent="0.4">
      <c r="A46" s="4" t="s">
        <v>28</v>
      </c>
      <c r="B46" s="4" t="s">
        <v>715</v>
      </c>
      <c r="C46" s="4" t="s">
        <v>779</v>
      </c>
      <c r="D46" s="4" t="s">
        <v>729</v>
      </c>
      <c r="E46" s="5">
        <v>24222</v>
      </c>
      <c r="F46" s="4">
        <v>7579616535</v>
      </c>
      <c r="G46" s="4" t="s">
        <v>735</v>
      </c>
      <c r="H46" s="5">
        <v>44219</v>
      </c>
      <c r="I46" s="4" t="s">
        <v>749</v>
      </c>
      <c r="J46" s="4" t="s">
        <v>828</v>
      </c>
      <c r="K46" s="4" t="s">
        <v>829</v>
      </c>
    </row>
    <row r="47" spans="1:11" x14ac:dyDescent="0.4">
      <c r="A47" s="4" t="s">
        <v>72</v>
      </c>
      <c r="B47" s="4" t="s">
        <v>743</v>
      </c>
      <c r="C47" s="4" t="s">
        <v>694</v>
      </c>
      <c r="D47" s="4" t="s">
        <v>729</v>
      </c>
      <c r="E47" s="5">
        <v>31656</v>
      </c>
      <c r="F47" s="4">
        <v>8019925828</v>
      </c>
      <c r="G47" s="4" t="s">
        <v>757</v>
      </c>
      <c r="H47" s="5">
        <v>44408</v>
      </c>
      <c r="I47" s="4" t="s">
        <v>749</v>
      </c>
      <c r="J47" s="4" t="s">
        <v>830</v>
      </c>
      <c r="K47" s="4" t="s">
        <v>763</v>
      </c>
    </row>
    <row r="48" spans="1:11" x14ac:dyDescent="0.4">
      <c r="A48" s="4" t="s">
        <v>66</v>
      </c>
      <c r="B48" s="4" t="s">
        <v>698</v>
      </c>
      <c r="C48" s="4" t="s">
        <v>782</v>
      </c>
      <c r="D48" s="4" t="s">
        <v>740</v>
      </c>
      <c r="E48" s="5">
        <v>35046</v>
      </c>
      <c r="F48" s="4">
        <v>8715732851</v>
      </c>
      <c r="G48" s="4" t="s">
        <v>735</v>
      </c>
      <c r="H48" s="5">
        <v>44701</v>
      </c>
      <c r="I48" s="4" t="s">
        <v>731</v>
      </c>
      <c r="J48" s="4" t="s">
        <v>831</v>
      </c>
      <c r="K48" s="4" t="s">
        <v>784</v>
      </c>
    </row>
    <row r="49" spans="1:11" x14ac:dyDescent="0.4">
      <c r="A49" s="4" t="s">
        <v>17</v>
      </c>
      <c r="B49" s="4" t="s">
        <v>734</v>
      </c>
      <c r="C49" s="4" t="s">
        <v>779</v>
      </c>
      <c r="D49" s="4" t="s">
        <v>740</v>
      </c>
      <c r="E49" s="5">
        <v>30399</v>
      </c>
      <c r="F49" s="4">
        <v>8720989381</v>
      </c>
      <c r="G49" s="4" t="s">
        <v>745</v>
      </c>
      <c r="H49" s="5">
        <v>45096</v>
      </c>
      <c r="I49" s="4" t="s">
        <v>736</v>
      </c>
      <c r="J49" s="4" t="s">
        <v>832</v>
      </c>
      <c r="K49" s="4" t="s">
        <v>833</v>
      </c>
    </row>
    <row r="50" spans="1:11" x14ac:dyDescent="0.4">
      <c r="A50" s="4" t="s">
        <v>68</v>
      </c>
      <c r="B50" s="4" t="s">
        <v>693</v>
      </c>
      <c r="C50" s="4" t="s">
        <v>782</v>
      </c>
      <c r="D50" s="4" t="s">
        <v>740</v>
      </c>
      <c r="E50" s="5">
        <v>26629</v>
      </c>
      <c r="F50" s="4">
        <v>7712937941</v>
      </c>
      <c r="G50" s="4" t="s">
        <v>735</v>
      </c>
      <c r="H50" s="5">
        <v>45091</v>
      </c>
      <c r="I50" s="4" t="s">
        <v>749</v>
      </c>
      <c r="J50" s="4" t="s">
        <v>834</v>
      </c>
      <c r="K50" s="4" t="s">
        <v>835</v>
      </c>
    </row>
    <row r="51" spans="1:11" x14ac:dyDescent="0.4">
      <c r="A51" s="4" t="s">
        <v>123</v>
      </c>
      <c r="B51" s="4" t="s">
        <v>739</v>
      </c>
      <c r="C51" s="4" t="s">
        <v>719</v>
      </c>
      <c r="D51" s="4" t="s">
        <v>740</v>
      </c>
      <c r="E51" s="5">
        <v>34330</v>
      </c>
      <c r="F51" s="4">
        <v>8301134730</v>
      </c>
      <c r="G51" s="4" t="s">
        <v>735</v>
      </c>
      <c r="H51" s="5">
        <v>45044</v>
      </c>
      <c r="I51" s="4" t="s">
        <v>731</v>
      </c>
      <c r="J51" s="4" t="s">
        <v>836</v>
      </c>
      <c r="K51" s="4" t="s">
        <v>778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A714-F7B3-47B6-A967-5BE1503D614C}">
  <dimension ref="A1:H11"/>
  <sheetViews>
    <sheetView workbookViewId="0">
      <selection activeCell="L15" sqref="L15"/>
    </sheetView>
  </sheetViews>
  <sheetFormatPr defaultRowHeight="14.6" x14ac:dyDescent="0.4"/>
  <cols>
    <col min="1" max="1" width="11.07421875" bestFit="1" customWidth="1"/>
    <col min="2" max="2" width="12" bestFit="1" customWidth="1"/>
    <col min="3" max="3" width="11.69140625" bestFit="1" customWidth="1"/>
    <col min="4" max="4" width="14.23046875" bestFit="1" customWidth="1"/>
    <col min="5" max="5" width="16" bestFit="1" customWidth="1"/>
    <col min="6" max="6" width="17.61328125" bestFit="1" customWidth="1"/>
    <col min="7" max="7" width="16.53515625" bestFit="1" customWidth="1"/>
    <col min="8" max="8" width="25.765625" bestFit="1" customWidth="1"/>
  </cols>
  <sheetData>
    <row r="1" spans="1:8" x14ac:dyDescent="0.4">
      <c r="A1" t="s">
        <v>2</v>
      </c>
      <c r="B1" t="s">
        <v>686</v>
      </c>
      <c r="C1" t="s">
        <v>687</v>
      </c>
      <c r="D1" t="s">
        <v>688</v>
      </c>
      <c r="E1" t="s">
        <v>689</v>
      </c>
      <c r="F1" t="s">
        <v>690</v>
      </c>
      <c r="G1" t="s">
        <v>691</v>
      </c>
      <c r="H1" t="s">
        <v>692</v>
      </c>
    </row>
    <row r="2" spans="1:8" x14ac:dyDescent="0.4">
      <c r="A2" s="4" t="s">
        <v>59</v>
      </c>
      <c r="B2" s="4" t="s">
        <v>693</v>
      </c>
      <c r="C2" s="4" t="s">
        <v>694</v>
      </c>
      <c r="D2" s="4" t="s">
        <v>695</v>
      </c>
      <c r="E2" s="4">
        <v>8322010158</v>
      </c>
      <c r="F2" s="4">
        <v>17</v>
      </c>
      <c r="G2" s="4" t="s">
        <v>696</v>
      </c>
      <c r="H2" s="4" t="s">
        <v>697</v>
      </c>
    </row>
    <row r="3" spans="1:8" x14ac:dyDescent="0.4">
      <c r="A3" s="4" t="s">
        <v>48</v>
      </c>
      <c r="B3" s="4" t="s">
        <v>698</v>
      </c>
      <c r="C3" s="4" t="s">
        <v>699</v>
      </c>
      <c r="D3" s="4" t="s">
        <v>700</v>
      </c>
      <c r="E3" s="4">
        <v>9004382050</v>
      </c>
      <c r="F3" s="4">
        <v>24</v>
      </c>
      <c r="G3" s="4" t="s">
        <v>701</v>
      </c>
      <c r="H3" s="4" t="s">
        <v>702</v>
      </c>
    </row>
    <row r="4" spans="1:8" x14ac:dyDescent="0.4">
      <c r="A4" s="4" t="s">
        <v>25</v>
      </c>
      <c r="B4" s="4" t="s">
        <v>698</v>
      </c>
      <c r="C4" s="4" t="s">
        <v>703</v>
      </c>
      <c r="D4" s="4" t="s">
        <v>700</v>
      </c>
      <c r="E4" s="4">
        <v>8737740598</v>
      </c>
      <c r="F4" s="4">
        <v>19</v>
      </c>
      <c r="G4" s="4" t="s">
        <v>701</v>
      </c>
      <c r="H4" s="4" t="s">
        <v>704</v>
      </c>
    </row>
    <row r="5" spans="1:8" x14ac:dyDescent="0.4">
      <c r="A5" s="4" t="s">
        <v>14</v>
      </c>
      <c r="B5" s="4" t="s">
        <v>693</v>
      </c>
      <c r="C5" s="4" t="s">
        <v>705</v>
      </c>
      <c r="D5" s="4" t="s">
        <v>700</v>
      </c>
      <c r="E5" s="4">
        <v>6594221991</v>
      </c>
      <c r="F5" s="4">
        <v>28</v>
      </c>
      <c r="G5" s="4" t="s">
        <v>706</v>
      </c>
      <c r="H5" s="4" t="s">
        <v>707</v>
      </c>
    </row>
    <row r="6" spans="1:8" x14ac:dyDescent="0.4">
      <c r="A6" s="4" t="s">
        <v>74</v>
      </c>
      <c r="B6" s="4" t="s">
        <v>708</v>
      </c>
      <c r="C6" s="4" t="s">
        <v>694</v>
      </c>
      <c r="D6" s="4" t="s">
        <v>695</v>
      </c>
      <c r="E6" s="4">
        <v>9118538547</v>
      </c>
      <c r="F6" s="4">
        <v>26</v>
      </c>
      <c r="G6" s="4" t="s">
        <v>706</v>
      </c>
      <c r="H6" s="4" t="s">
        <v>709</v>
      </c>
    </row>
    <row r="7" spans="1:8" x14ac:dyDescent="0.4">
      <c r="A7" s="4" t="s">
        <v>22</v>
      </c>
      <c r="B7" s="4" t="s">
        <v>710</v>
      </c>
      <c r="C7" s="4" t="s">
        <v>699</v>
      </c>
      <c r="D7" s="4" t="s">
        <v>700</v>
      </c>
      <c r="E7" s="4">
        <v>6570137231</v>
      </c>
      <c r="F7" s="4">
        <v>23</v>
      </c>
      <c r="G7" s="4" t="s">
        <v>706</v>
      </c>
      <c r="H7" s="4" t="s">
        <v>711</v>
      </c>
    </row>
    <row r="8" spans="1:8" x14ac:dyDescent="0.4">
      <c r="A8" s="4" t="s">
        <v>32</v>
      </c>
      <c r="B8" s="4" t="s">
        <v>712</v>
      </c>
      <c r="C8" s="4" t="s">
        <v>699</v>
      </c>
      <c r="D8" s="4" t="s">
        <v>713</v>
      </c>
      <c r="E8" s="4">
        <v>8217493115</v>
      </c>
      <c r="F8" s="4">
        <v>26</v>
      </c>
      <c r="G8" s="4" t="s">
        <v>696</v>
      </c>
      <c r="H8" s="4" t="s">
        <v>714</v>
      </c>
    </row>
    <row r="9" spans="1:8" x14ac:dyDescent="0.4">
      <c r="A9" s="4" t="s">
        <v>54</v>
      </c>
      <c r="B9" s="4" t="s">
        <v>715</v>
      </c>
      <c r="C9" s="4" t="s">
        <v>716</v>
      </c>
      <c r="D9" s="4" t="s">
        <v>695</v>
      </c>
      <c r="E9" s="4">
        <v>9069162601</v>
      </c>
      <c r="F9" s="4">
        <v>5</v>
      </c>
      <c r="G9" s="4" t="s">
        <v>696</v>
      </c>
      <c r="H9" s="4" t="s">
        <v>717</v>
      </c>
    </row>
    <row r="10" spans="1:8" x14ac:dyDescent="0.4">
      <c r="A10" s="4" t="s">
        <v>9</v>
      </c>
      <c r="B10" s="4" t="s">
        <v>708</v>
      </c>
      <c r="C10" s="4" t="s">
        <v>703</v>
      </c>
      <c r="D10" s="4" t="s">
        <v>700</v>
      </c>
      <c r="E10" s="4">
        <v>7387087517</v>
      </c>
      <c r="F10" s="4">
        <v>26</v>
      </c>
      <c r="G10" s="4" t="s">
        <v>706</v>
      </c>
      <c r="H10" s="4" t="s">
        <v>718</v>
      </c>
    </row>
    <row r="11" spans="1:8" x14ac:dyDescent="0.4">
      <c r="A11" s="4" t="s">
        <v>35</v>
      </c>
      <c r="B11" s="4" t="s">
        <v>715</v>
      </c>
      <c r="C11" s="4" t="s">
        <v>719</v>
      </c>
      <c r="D11" s="4" t="s">
        <v>713</v>
      </c>
      <c r="E11" s="4">
        <v>6176383634</v>
      </c>
      <c r="F11" s="4">
        <v>21</v>
      </c>
      <c r="G11" s="4" t="s">
        <v>701</v>
      </c>
      <c r="H11" s="4" t="s">
        <v>720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7D4D-8C84-491F-9752-CE6358338C27}">
  <dimension ref="A1:F201"/>
  <sheetViews>
    <sheetView workbookViewId="0">
      <selection activeCell="I19" sqref="I19"/>
    </sheetView>
  </sheetViews>
  <sheetFormatPr defaultRowHeight="14.6" x14ac:dyDescent="0.4"/>
  <cols>
    <col min="2" max="2" width="16.53515625" bestFit="1" customWidth="1"/>
    <col min="3" max="3" width="14.07421875" bestFit="1" customWidth="1"/>
    <col min="4" max="4" width="16.3046875" bestFit="1" customWidth="1"/>
    <col min="5" max="5" width="17.3828125" bestFit="1" customWidth="1"/>
    <col min="6" max="7" width="16.3828125" bestFit="1" customWidth="1"/>
  </cols>
  <sheetData>
    <row r="1" spans="1:6" x14ac:dyDescent="0.4">
      <c r="A1" t="s">
        <v>0</v>
      </c>
      <c r="B1" t="s">
        <v>275</v>
      </c>
      <c r="C1" t="s">
        <v>837</v>
      </c>
      <c r="D1" t="s">
        <v>838</v>
      </c>
      <c r="E1" t="s">
        <v>839</v>
      </c>
      <c r="F1" t="s">
        <v>840</v>
      </c>
    </row>
    <row r="2" spans="1:6" x14ac:dyDescent="0.4">
      <c r="A2" s="4" t="s">
        <v>7</v>
      </c>
      <c r="B2" s="4" t="s">
        <v>281</v>
      </c>
      <c r="C2" s="4" t="s">
        <v>841</v>
      </c>
      <c r="D2" s="4" t="s">
        <v>842</v>
      </c>
      <c r="E2" s="4">
        <v>3941.97</v>
      </c>
      <c r="F2" s="5">
        <v>45147</v>
      </c>
    </row>
    <row r="3" spans="1:6" x14ac:dyDescent="0.4">
      <c r="A3" s="4" t="s">
        <v>12</v>
      </c>
      <c r="B3" s="4" t="s">
        <v>285</v>
      </c>
      <c r="C3" s="4" t="s">
        <v>843</v>
      </c>
      <c r="D3" s="4" t="s">
        <v>844</v>
      </c>
      <c r="E3" s="4">
        <v>4158.4399999999996</v>
      </c>
      <c r="F3" s="5">
        <v>45086</v>
      </c>
    </row>
    <row r="4" spans="1:6" x14ac:dyDescent="0.4">
      <c r="A4" s="4" t="s">
        <v>16</v>
      </c>
      <c r="B4" s="4" t="s">
        <v>288</v>
      </c>
      <c r="C4" s="4" t="s">
        <v>843</v>
      </c>
      <c r="D4" s="4" t="s">
        <v>845</v>
      </c>
      <c r="E4" s="4">
        <v>3731.55</v>
      </c>
      <c r="F4" s="5">
        <v>45105</v>
      </c>
    </row>
    <row r="5" spans="1:6" x14ac:dyDescent="0.4">
      <c r="A5" s="4" t="s">
        <v>20</v>
      </c>
      <c r="B5" s="4" t="s">
        <v>290</v>
      </c>
      <c r="C5" s="4" t="s">
        <v>843</v>
      </c>
      <c r="D5" s="4" t="s">
        <v>842</v>
      </c>
      <c r="E5" s="4">
        <v>4799.8599999999997</v>
      </c>
      <c r="F5" s="5">
        <v>45170</v>
      </c>
    </row>
    <row r="6" spans="1:6" x14ac:dyDescent="0.4">
      <c r="A6" s="4" t="s">
        <v>23</v>
      </c>
      <c r="B6" s="4" t="s">
        <v>293</v>
      </c>
      <c r="C6" s="4" t="s">
        <v>846</v>
      </c>
      <c r="D6" s="4" t="s">
        <v>845</v>
      </c>
      <c r="E6" s="4">
        <v>582.04999999999995</v>
      </c>
      <c r="F6" s="5">
        <v>45113</v>
      </c>
    </row>
    <row r="7" spans="1:6" x14ac:dyDescent="0.4">
      <c r="A7" s="4" t="s">
        <v>27</v>
      </c>
      <c r="B7" s="4" t="s">
        <v>296</v>
      </c>
      <c r="C7" s="4" t="s">
        <v>841</v>
      </c>
      <c r="D7" s="4" t="s">
        <v>845</v>
      </c>
      <c r="E7" s="4">
        <v>1381</v>
      </c>
      <c r="F7" s="5">
        <v>45096</v>
      </c>
    </row>
    <row r="8" spans="1:6" x14ac:dyDescent="0.4">
      <c r="A8" s="4" t="s">
        <v>30</v>
      </c>
      <c r="B8" s="4" t="s">
        <v>298</v>
      </c>
      <c r="C8" s="4" t="s">
        <v>841</v>
      </c>
      <c r="D8" s="4" t="s">
        <v>844</v>
      </c>
      <c r="E8" s="4">
        <v>534.03</v>
      </c>
      <c r="F8" s="5">
        <v>45025</v>
      </c>
    </row>
    <row r="9" spans="1:6" x14ac:dyDescent="0.4">
      <c r="A9" s="4" t="s">
        <v>33</v>
      </c>
      <c r="B9" s="4" t="s">
        <v>301</v>
      </c>
      <c r="C9" s="4" t="s">
        <v>847</v>
      </c>
      <c r="D9" s="4" t="s">
        <v>842</v>
      </c>
      <c r="E9" s="4">
        <v>3413.64</v>
      </c>
      <c r="F9" s="5">
        <v>45070</v>
      </c>
    </row>
    <row r="10" spans="1:6" x14ac:dyDescent="0.4">
      <c r="A10" s="4" t="s">
        <v>36</v>
      </c>
      <c r="B10" s="4" t="s">
        <v>303</v>
      </c>
      <c r="C10" s="4" t="s">
        <v>847</v>
      </c>
      <c r="D10" s="4" t="s">
        <v>845</v>
      </c>
      <c r="E10" s="4">
        <v>4541.1400000000003</v>
      </c>
      <c r="F10" s="5">
        <v>44990</v>
      </c>
    </row>
    <row r="11" spans="1:6" x14ac:dyDescent="0.4">
      <c r="A11" s="4" t="s">
        <v>39</v>
      </c>
      <c r="B11" s="4" t="s">
        <v>305</v>
      </c>
      <c r="C11" s="4" t="s">
        <v>847</v>
      </c>
      <c r="D11" s="4" t="s">
        <v>845</v>
      </c>
      <c r="E11" s="4">
        <v>1595.67</v>
      </c>
      <c r="F11" s="5">
        <v>44939</v>
      </c>
    </row>
    <row r="12" spans="1:6" x14ac:dyDescent="0.4">
      <c r="A12" s="4" t="s">
        <v>42</v>
      </c>
      <c r="B12" s="4" t="s">
        <v>307</v>
      </c>
      <c r="C12" s="4" t="s">
        <v>843</v>
      </c>
      <c r="D12" s="4" t="s">
        <v>842</v>
      </c>
      <c r="E12" s="4">
        <v>4671.66</v>
      </c>
      <c r="F12" s="5">
        <v>45242</v>
      </c>
    </row>
    <row r="13" spans="1:6" x14ac:dyDescent="0.4">
      <c r="A13" s="4" t="s">
        <v>44</v>
      </c>
      <c r="B13" s="4" t="s">
        <v>309</v>
      </c>
      <c r="C13" s="4" t="s">
        <v>841</v>
      </c>
      <c r="D13" s="4" t="s">
        <v>845</v>
      </c>
      <c r="E13" s="4">
        <v>771.2</v>
      </c>
      <c r="F13" s="5">
        <v>45053</v>
      </c>
    </row>
    <row r="14" spans="1:6" x14ac:dyDescent="0.4">
      <c r="A14" s="4" t="s">
        <v>46</v>
      </c>
      <c r="B14" s="4" t="s">
        <v>311</v>
      </c>
      <c r="C14" s="4" t="s">
        <v>843</v>
      </c>
      <c r="D14" s="4" t="s">
        <v>845</v>
      </c>
      <c r="E14" s="4">
        <v>4704.96</v>
      </c>
      <c r="F14" s="5">
        <v>45154</v>
      </c>
    </row>
    <row r="15" spans="1:6" x14ac:dyDescent="0.4">
      <c r="A15" s="4" t="s">
        <v>49</v>
      </c>
      <c r="B15" s="4" t="s">
        <v>313</v>
      </c>
      <c r="C15" s="4" t="s">
        <v>846</v>
      </c>
      <c r="D15" s="4" t="s">
        <v>842</v>
      </c>
      <c r="E15" s="4">
        <v>2082.3000000000002</v>
      </c>
      <c r="F15" s="5">
        <v>45071</v>
      </c>
    </row>
    <row r="16" spans="1:6" x14ac:dyDescent="0.4">
      <c r="A16" s="4" t="s">
        <v>51</v>
      </c>
      <c r="B16" s="4" t="s">
        <v>315</v>
      </c>
      <c r="C16" s="4" t="s">
        <v>847</v>
      </c>
      <c r="D16" s="4" t="s">
        <v>842</v>
      </c>
      <c r="E16" s="4">
        <v>956.39</v>
      </c>
      <c r="F16" s="5">
        <v>44941</v>
      </c>
    </row>
    <row r="17" spans="1:6" x14ac:dyDescent="0.4">
      <c r="A17" s="4" t="s">
        <v>53</v>
      </c>
      <c r="B17" s="4" t="s">
        <v>317</v>
      </c>
      <c r="C17" s="4" t="s">
        <v>843</v>
      </c>
      <c r="D17" s="4" t="s">
        <v>842</v>
      </c>
      <c r="E17" s="4">
        <v>2686.42</v>
      </c>
      <c r="F17" s="5">
        <v>45107</v>
      </c>
    </row>
    <row r="18" spans="1:6" x14ac:dyDescent="0.4">
      <c r="A18" s="4" t="s">
        <v>55</v>
      </c>
      <c r="B18" s="4" t="s">
        <v>319</v>
      </c>
      <c r="C18" s="4" t="s">
        <v>843</v>
      </c>
      <c r="D18" s="4" t="s">
        <v>842</v>
      </c>
      <c r="E18" s="4">
        <v>1655.49</v>
      </c>
      <c r="F18" s="5">
        <v>45118</v>
      </c>
    </row>
    <row r="19" spans="1:6" x14ac:dyDescent="0.4">
      <c r="A19" s="4" t="s">
        <v>57</v>
      </c>
      <c r="B19" s="4" t="s">
        <v>321</v>
      </c>
      <c r="C19" s="4" t="s">
        <v>846</v>
      </c>
      <c r="D19" s="4" t="s">
        <v>844</v>
      </c>
      <c r="E19" s="4">
        <v>1781.93</v>
      </c>
      <c r="F19" s="5">
        <v>45244</v>
      </c>
    </row>
    <row r="20" spans="1:6" x14ac:dyDescent="0.4">
      <c r="A20" s="4" t="s">
        <v>58</v>
      </c>
      <c r="B20" s="4" t="s">
        <v>323</v>
      </c>
      <c r="C20" s="4" t="s">
        <v>848</v>
      </c>
      <c r="D20" s="4" t="s">
        <v>842</v>
      </c>
      <c r="E20" s="4">
        <v>1882.8</v>
      </c>
      <c r="F20" s="5">
        <v>44963</v>
      </c>
    </row>
    <row r="21" spans="1:6" x14ac:dyDescent="0.4">
      <c r="A21" s="4" t="s">
        <v>60</v>
      </c>
      <c r="B21" s="4" t="s">
        <v>325</v>
      </c>
      <c r="C21" s="4" t="s">
        <v>841</v>
      </c>
      <c r="D21" s="4" t="s">
        <v>844</v>
      </c>
      <c r="E21" s="4">
        <v>4113.62</v>
      </c>
      <c r="F21" s="5">
        <v>45265</v>
      </c>
    </row>
    <row r="22" spans="1:6" x14ac:dyDescent="0.4">
      <c r="A22" s="4" t="s">
        <v>62</v>
      </c>
      <c r="B22" s="4" t="s">
        <v>327</v>
      </c>
      <c r="C22" s="4" t="s">
        <v>848</v>
      </c>
      <c r="D22" s="4" t="s">
        <v>844</v>
      </c>
      <c r="E22" s="4">
        <v>2926.23</v>
      </c>
      <c r="F22" s="5">
        <v>45040</v>
      </c>
    </row>
    <row r="23" spans="1:6" x14ac:dyDescent="0.4">
      <c r="A23" s="4" t="s">
        <v>64</v>
      </c>
      <c r="B23" s="4" t="s">
        <v>329</v>
      </c>
      <c r="C23" s="4" t="s">
        <v>847</v>
      </c>
      <c r="D23" s="4" t="s">
        <v>844</v>
      </c>
      <c r="E23" s="4">
        <v>1900.88</v>
      </c>
      <c r="F23" s="5">
        <v>45244</v>
      </c>
    </row>
    <row r="24" spans="1:6" x14ac:dyDescent="0.4">
      <c r="A24" s="4" t="s">
        <v>65</v>
      </c>
      <c r="B24" s="4" t="s">
        <v>331</v>
      </c>
      <c r="C24" s="4" t="s">
        <v>843</v>
      </c>
      <c r="D24" s="4" t="s">
        <v>845</v>
      </c>
      <c r="E24" s="4">
        <v>3246.5</v>
      </c>
      <c r="F24" s="5">
        <v>45055</v>
      </c>
    </row>
    <row r="25" spans="1:6" x14ac:dyDescent="0.4">
      <c r="A25" s="4" t="s">
        <v>67</v>
      </c>
      <c r="B25" s="4" t="s">
        <v>333</v>
      </c>
      <c r="C25" s="4" t="s">
        <v>846</v>
      </c>
      <c r="D25" s="4" t="s">
        <v>844</v>
      </c>
      <c r="E25" s="4">
        <v>3722.68</v>
      </c>
      <c r="F25" s="5">
        <v>45098</v>
      </c>
    </row>
    <row r="26" spans="1:6" x14ac:dyDescent="0.4">
      <c r="A26" s="4" t="s">
        <v>69</v>
      </c>
      <c r="B26" s="4" t="s">
        <v>335</v>
      </c>
      <c r="C26" s="4" t="s">
        <v>846</v>
      </c>
      <c r="D26" s="4" t="s">
        <v>844</v>
      </c>
      <c r="E26" s="4">
        <v>1726.81</v>
      </c>
      <c r="F26" s="5">
        <v>44982</v>
      </c>
    </row>
    <row r="27" spans="1:6" x14ac:dyDescent="0.4">
      <c r="A27" s="4" t="s">
        <v>71</v>
      </c>
      <c r="B27" s="4" t="s">
        <v>337</v>
      </c>
      <c r="C27" s="4" t="s">
        <v>841</v>
      </c>
      <c r="D27" s="4" t="s">
        <v>845</v>
      </c>
      <c r="E27" s="4">
        <v>2360.9699999999998</v>
      </c>
      <c r="F27" s="5">
        <v>45002</v>
      </c>
    </row>
    <row r="28" spans="1:6" x14ac:dyDescent="0.4">
      <c r="A28" s="4" t="s">
        <v>73</v>
      </c>
      <c r="B28" s="4" t="s">
        <v>339</v>
      </c>
      <c r="C28" s="4" t="s">
        <v>848</v>
      </c>
      <c r="D28" s="4" t="s">
        <v>845</v>
      </c>
      <c r="E28" s="4">
        <v>1048.49</v>
      </c>
      <c r="F28" s="5">
        <v>45244</v>
      </c>
    </row>
    <row r="29" spans="1:6" x14ac:dyDescent="0.4">
      <c r="A29" s="4" t="s">
        <v>75</v>
      </c>
      <c r="B29" s="4" t="s">
        <v>341</v>
      </c>
      <c r="C29" s="4" t="s">
        <v>841</v>
      </c>
      <c r="D29" s="4" t="s">
        <v>845</v>
      </c>
      <c r="E29" s="4">
        <v>1315.17</v>
      </c>
      <c r="F29" s="5">
        <v>45228</v>
      </c>
    </row>
    <row r="30" spans="1:6" x14ac:dyDescent="0.4">
      <c r="A30" s="4" t="s">
        <v>76</v>
      </c>
      <c r="B30" s="4" t="s">
        <v>343</v>
      </c>
      <c r="C30" s="4" t="s">
        <v>843</v>
      </c>
      <c r="D30" s="4" t="s">
        <v>842</v>
      </c>
      <c r="E30" s="4">
        <v>3565.03</v>
      </c>
      <c r="F30" s="5">
        <v>45102</v>
      </c>
    </row>
    <row r="31" spans="1:6" x14ac:dyDescent="0.4">
      <c r="A31" s="4" t="s">
        <v>77</v>
      </c>
      <c r="B31" s="4" t="s">
        <v>345</v>
      </c>
      <c r="C31" s="4" t="s">
        <v>841</v>
      </c>
      <c r="D31" s="4" t="s">
        <v>845</v>
      </c>
      <c r="E31" s="4">
        <v>1316.47</v>
      </c>
      <c r="F31" s="5">
        <v>45167</v>
      </c>
    </row>
    <row r="32" spans="1:6" x14ac:dyDescent="0.4">
      <c r="A32" s="4" t="s">
        <v>78</v>
      </c>
      <c r="B32" s="4" t="s">
        <v>347</v>
      </c>
      <c r="C32" s="4" t="s">
        <v>846</v>
      </c>
      <c r="D32" s="4" t="s">
        <v>845</v>
      </c>
      <c r="E32" s="4">
        <v>2863.24</v>
      </c>
      <c r="F32" s="5">
        <v>45020</v>
      </c>
    </row>
    <row r="33" spans="1:6" x14ac:dyDescent="0.4">
      <c r="A33" s="4" t="s">
        <v>79</v>
      </c>
      <c r="B33" s="4" t="s">
        <v>349</v>
      </c>
      <c r="C33" s="4" t="s">
        <v>846</v>
      </c>
      <c r="D33" s="4" t="s">
        <v>844</v>
      </c>
      <c r="E33" s="4">
        <v>3690.71</v>
      </c>
      <c r="F33" s="5">
        <v>45236</v>
      </c>
    </row>
    <row r="34" spans="1:6" x14ac:dyDescent="0.4">
      <c r="A34" s="4" t="s">
        <v>80</v>
      </c>
      <c r="B34" s="4" t="s">
        <v>351</v>
      </c>
      <c r="C34" s="4" t="s">
        <v>847</v>
      </c>
      <c r="D34" s="4" t="s">
        <v>845</v>
      </c>
      <c r="E34" s="4">
        <v>980.95</v>
      </c>
      <c r="F34" s="5">
        <v>45192</v>
      </c>
    </row>
    <row r="35" spans="1:6" x14ac:dyDescent="0.4">
      <c r="A35" s="4" t="s">
        <v>82</v>
      </c>
      <c r="B35" s="4" t="s">
        <v>353</v>
      </c>
      <c r="C35" s="4" t="s">
        <v>847</v>
      </c>
      <c r="D35" s="4" t="s">
        <v>842</v>
      </c>
      <c r="E35" s="4">
        <v>3052.9</v>
      </c>
      <c r="F35" s="5">
        <v>45090</v>
      </c>
    </row>
    <row r="36" spans="1:6" x14ac:dyDescent="0.4">
      <c r="A36" s="4" t="s">
        <v>83</v>
      </c>
      <c r="B36" s="4" t="s">
        <v>355</v>
      </c>
      <c r="C36" s="4" t="s">
        <v>843</v>
      </c>
      <c r="D36" s="4" t="s">
        <v>845</v>
      </c>
      <c r="E36" s="4">
        <v>1654.53</v>
      </c>
      <c r="F36" s="5">
        <v>45034</v>
      </c>
    </row>
    <row r="37" spans="1:6" x14ac:dyDescent="0.4">
      <c r="A37" s="4" t="s">
        <v>85</v>
      </c>
      <c r="B37" s="4" t="s">
        <v>357</v>
      </c>
      <c r="C37" s="4" t="s">
        <v>848</v>
      </c>
      <c r="D37" s="4" t="s">
        <v>842</v>
      </c>
      <c r="E37" s="4">
        <v>4833.17</v>
      </c>
      <c r="F37" s="5">
        <v>44934</v>
      </c>
    </row>
    <row r="38" spans="1:6" x14ac:dyDescent="0.4">
      <c r="A38" s="4" t="s">
        <v>87</v>
      </c>
      <c r="B38" s="4" t="s">
        <v>359</v>
      </c>
      <c r="C38" s="4" t="s">
        <v>841</v>
      </c>
      <c r="D38" s="4" t="s">
        <v>845</v>
      </c>
      <c r="E38" s="4">
        <v>2675.96</v>
      </c>
      <c r="F38" s="5">
        <v>45013</v>
      </c>
    </row>
    <row r="39" spans="1:6" x14ac:dyDescent="0.4">
      <c r="A39" s="4" t="s">
        <v>88</v>
      </c>
      <c r="B39" s="4" t="s">
        <v>361</v>
      </c>
      <c r="C39" s="4" t="s">
        <v>843</v>
      </c>
      <c r="D39" s="4" t="s">
        <v>845</v>
      </c>
      <c r="E39" s="4">
        <v>4126.97</v>
      </c>
      <c r="F39" s="5">
        <v>44980</v>
      </c>
    </row>
    <row r="40" spans="1:6" x14ac:dyDescent="0.4">
      <c r="A40" s="4" t="s">
        <v>89</v>
      </c>
      <c r="B40" s="4" t="s">
        <v>363</v>
      </c>
      <c r="C40" s="4" t="s">
        <v>847</v>
      </c>
      <c r="D40" s="4" t="s">
        <v>845</v>
      </c>
      <c r="E40" s="4">
        <v>2976.02</v>
      </c>
      <c r="F40" s="5">
        <v>45033</v>
      </c>
    </row>
    <row r="41" spans="1:6" x14ac:dyDescent="0.4">
      <c r="A41" s="4" t="s">
        <v>91</v>
      </c>
      <c r="B41" s="4" t="s">
        <v>365</v>
      </c>
      <c r="C41" s="4" t="s">
        <v>841</v>
      </c>
      <c r="D41" s="4" t="s">
        <v>845</v>
      </c>
      <c r="E41" s="4">
        <v>695.36</v>
      </c>
      <c r="F41" s="5">
        <v>45012</v>
      </c>
    </row>
    <row r="42" spans="1:6" x14ac:dyDescent="0.4">
      <c r="A42" s="4" t="s">
        <v>93</v>
      </c>
      <c r="B42" s="4" t="s">
        <v>367</v>
      </c>
      <c r="C42" s="4" t="s">
        <v>847</v>
      </c>
      <c r="D42" s="4" t="s">
        <v>842</v>
      </c>
      <c r="E42" s="4">
        <v>3349.18</v>
      </c>
      <c r="F42" s="5">
        <v>44927</v>
      </c>
    </row>
    <row r="43" spans="1:6" x14ac:dyDescent="0.4">
      <c r="A43" s="4" t="s">
        <v>94</v>
      </c>
      <c r="B43" s="4" t="s">
        <v>369</v>
      </c>
      <c r="C43" s="4" t="s">
        <v>841</v>
      </c>
      <c r="D43" s="4" t="s">
        <v>842</v>
      </c>
      <c r="E43" s="4">
        <v>4781.32</v>
      </c>
      <c r="F43" s="5">
        <v>45006</v>
      </c>
    </row>
    <row r="44" spans="1:6" x14ac:dyDescent="0.4">
      <c r="A44" s="4" t="s">
        <v>95</v>
      </c>
      <c r="B44" s="4" t="s">
        <v>371</v>
      </c>
      <c r="C44" s="4" t="s">
        <v>848</v>
      </c>
      <c r="D44" s="4" t="s">
        <v>844</v>
      </c>
      <c r="E44" s="4">
        <v>3207.25</v>
      </c>
      <c r="F44" s="5">
        <v>45014</v>
      </c>
    </row>
    <row r="45" spans="1:6" x14ac:dyDescent="0.4">
      <c r="A45" s="4" t="s">
        <v>96</v>
      </c>
      <c r="B45" s="4" t="s">
        <v>373</v>
      </c>
      <c r="C45" s="4" t="s">
        <v>843</v>
      </c>
      <c r="D45" s="4" t="s">
        <v>842</v>
      </c>
      <c r="E45" s="4">
        <v>4186.3500000000004</v>
      </c>
      <c r="F45" s="5">
        <v>45189</v>
      </c>
    </row>
    <row r="46" spans="1:6" x14ac:dyDescent="0.4">
      <c r="A46" s="4" t="s">
        <v>98</v>
      </c>
      <c r="B46" s="4" t="s">
        <v>375</v>
      </c>
      <c r="C46" s="4" t="s">
        <v>841</v>
      </c>
      <c r="D46" s="4" t="s">
        <v>845</v>
      </c>
      <c r="E46" s="4">
        <v>4478.93</v>
      </c>
      <c r="F46" s="5">
        <v>45197</v>
      </c>
    </row>
    <row r="47" spans="1:6" x14ac:dyDescent="0.4">
      <c r="A47" s="4" t="s">
        <v>99</v>
      </c>
      <c r="B47" s="4" t="s">
        <v>377</v>
      </c>
      <c r="C47" s="4" t="s">
        <v>846</v>
      </c>
      <c r="D47" s="4" t="s">
        <v>844</v>
      </c>
      <c r="E47" s="4">
        <v>1526.36</v>
      </c>
      <c r="F47" s="5">
        <v>45280</v>
      </c>
    </row>
    <row r="48" spans="1:6" x14ac:dyDescent="0.4">
      <c r="A48" s="4" t="s">
        <v>101</v>
      </c>
      <c r="B48" s="4" t="s">
        <v>379</v>
      </c>
      <c r="C48" s="4" t="s">
        <v>846</v>
      </c>
      <c r="D48" s="4" t="s">
        <v>844</v>
      </c>
      <c r="E48" s="4">
        <v>1454.2</v>
      </c>
      <c r="F48" s="5">
        <v>45048</v>
      </c>
    </row>
    <row r="49" spans="1:6" x14ac:dyDescent="0.4">
      <c r="A49" s="4" t="s">
        <v>102</v>
      </c>
      <c r="B49" s="4" t="s">
        <v>381</v>
      </c>
      <c r="C49" s="4" t="s">
        <v>841</v>
      </c>
      <c r="D49" s="4" t="s">
        <v>844</v>
      </c>
      <c r="E49" s="4">
        <v>3249.41</v>
      </c>
      <c r="F49" s="5">
        <v>44942</v>
      </c>
    </row>
    <row r="50" spans="1:6" x14ac:dyDescent="0.4">
      <c r="A50" s="4" t="s">
        <v>103</v>
      </c>
      <c r="B50" s="4" t="s">
        <v>383</v>
      </c>
      <c r="C50" s="4" t="s">
        <v>841</v>
      </c>
      <c r="D50" s="4" t="s">
        <v>845</v>
      </c>
      <c r="E50" s="4">
        <v>2349.63</v>
      </c>
      <c r="F50" s="5">
        <v>45046</v>
      </c>
    </row>
    <row r="51" spans="1:6" x14ac:dyDescent="0.4">
      <c r="A51" s="4" t="s">
        <v>104</v>
      </c>
      <c r="B51" s="4" t="s">
        <v>385</v>
      </c>
      <c r="C51" s="4" t="s">
        <v>841</v>
      </c>
      <c r="D51" s="4" t="s">
        <v>842</v>
      </c>
      <c r="E51" s="4">
        <v>4279.38</v>
      </c>
      <c r="F51" s="5">
        <v>45154</v>
      </c>
    </row>
    <row r="52" spans="1:6" x14ac:dyDescent="0.4">
      <c r="A52" s="4" t="s">
        <v>105</v>
      </c>
      <c r="B52" s="4" t="s">
        <v>387</v>
      </c>
      <c r="C52" s="4" t="s">
        <v>846</v>
      </c>
      <c r="D52" s="4" t="s">
        <v>845</v>
      </c>
      <c r="E52" s="4">
        <v>4550.1000000000004</v>
      </c>
      <c r="F52" s="5">
        <v>44961</v>
      </c>
    </row>
    <row r="53" spans="1:6" x14ac:dyDescent="0.4">
      <c r="A53" s="4" t="s">
        <v>107</v>
      </c>
      <c r="B53" s="4" t="s">
        <v>389</v>
      </c>
      <c r="C53" s="4" t="s">
        <v>846</v>
      </c>
      <c r="D53" s="4" t="s">
        <v>844</v>
      </c>
      <c r="E53" s="4">
        <v>2090.4</v>
      </c>
      <c r="F53" s="5">
        <v>45119</v>
      </c>
    </row>
    <row r="54" spans="1:6" x14ac:dyDescent="0.4">
      <c r="A54" s="4" t="s">
        <v>108</v>
      </c>
      <c r="B54" s="4" t="s">
        <v>391</v>
      </c>
      <c r="C54" s="4" t="s">
        <v>841</v>
      </c>
      <c r="D54" s="4" t="s">
        <v>845</v>
      </c>
      <c r="E54" s="4">
        <v>1565.92</v>
      </c>
      <c r="F54" s="5">
        <v>44969</v>
      </c>
    </row>
    <row r="55" spans="1:6" x14ac:dyDescent="0.4">
      <c r="A55" s="4" t="s">
        <v>110</v>
      </c>
      <c r="B55" s="4" t="s">
        <v>393</v>
      </c>
      <c r="C55" s="4" t="s">
        <v>847</v>
      </c>
      <c r="D55" s="4" t="s">
        <v>845</v>
      </c>
      <c r="E55" s="4">
        <v>4012.36</v>
      </c>
      <c r="F55" s="5">
        <v>45276</v>
      </c>
    </row>
    <row r="56" spans="1:6" x14ac:dyDescent="0.4">
      <c r="A56" s="4" t="s">
        <v>111</v>
      </c>
      <c r="B56" s="4" t="s">
        <v>395</v>
      </c>
      <c r="C56" s="4" t="s">
        <v>847</v>
      </c>
      <c r="D56" s="4" t="s">
        <v>842</v>
      </c>
      <c r="E56" s="4">
        <v>1736.63</v>
      </c>
      <c r="F56" s="5">
        <v>45205</v>
      </c>
    </row>
    <row r="57" spans="1:6" x14ac:dyDescent="0.4">
      <c r="A57" s="4" t="s">
        <v>113</v>
      </c>
      <c r="B57" s="4" t="s">
        <v>397</v>
      </c>
      <c r="C57" s="4" t="s">
        <v>848</v>
      </c>
      <c r="D57" s="4" t="s">
        <v>842</v>
      </c>
      <c r="E57" s="4">
        <v>4201.76</v>
      </c>
      <c r="F57" s="5">
        <v>44928</v>
      </c>
    </row>
    <row r="58" spans="1:6" x14ac:dyDescent="0.4">
      <c r="A58" s="4" t="s">
        <v>114</v>
      </c>
      <c r="B58" s="4" t="s">
        <v>399</v>
      </c>
      <c r="C58" s="4" t="s">
        <v>843</v>
      </c>
      <c r="D58" s="4" t="s">
        <v>844</v>
      </c>
      <c r="E58" s="4">
        <v>2406.8200000000002</v>
      </c>
      <c r="F58" s="5">
        <v>45031</v>
      </c>
    </row>
    <row r="59" spans="1:6" x14ac:dyDescent="0.4">
      <c r="A59" s="4" t="s">
        <v>115</v>
      </c>
      <c r="B59" s="4" t="s">
        <v>401</v>
      </c>
      <c r="C59" s="4" t="s">
        <v>847</v>
      </c>
      <c r="D59" s="4" t="s">
        <v>845</v>
      </c>
      <c r="E59" s="4">
        <v>3503.97</v>
      </c>
      <c r="F59" s="5">
        <v>45055</v>
      </c>
    </row>
    <row r="60" spans="1:6" x14ac:dyDescent="0.4">
      <c r="A60" s="4" t="s">
        <v>116</v>
      </c>
      <c r="B60" s="4" t="s">
        <v>403</v>
      </c>
      <c r="C60" s="4" t="s">
        <v>846</v>
      </c>
      <c r="D60" s="4" t="s">
        <v>845</v>
      </c>
      <c r="E60" s="4">
        <v>929.91</v>
      </c>
      <c r="F60" s="5">
        <v>44994</v>
      </c>
    </row>
    <row r="61" spans="1:6" x14ac:dyDescent="0.4">
      <c r="A61" s="4" t="s">
        <v>118</v>
      </c>
      <c r="B61" s="4" t="s">
        <v>405</v>
      </c>
      <c r="C61" s="4" t="s">
        <v>847</v>
      </c>
      <c r="D61" s="4" t="s">
        <v>842</v>
      </c>
      <c r="E61" s="4">
        <v>3307.37</v>
      </c>
      <c r="F61" s="5">
        <v>45252</v>
      </c>
    </row>
    <row r="62" spans="1:6" x14ac:dyDescent="0.4">
      <c r="A62" s="4" t="s">
        <v>120</v>
      </c>
      <c r="B62" s="4" t="s">
        <v>407</v>
      </c>
      <c r="C62" s="4" t="s">
        <v>848</v>
      </c>
      <c r="D62" s="4" t="s">
        <v>845</v>
      </c>
      <c r="E62" s="4">
        <v>2532.9499999999998</v>
      </c>
      <c r="F62" s="5">
        <v>44941</v>
      </c>
    </row>
    <row r="63" spans="1:6" x14ac:dyDescent="0.4">
      <c r="A63" s="4" t="s">
        <v>121</v>
      </c>
      <c r="B63" s="4" t="s">
        <v>409</v>
      </c>
      <c r="C63" s="4" t="s">
        <v>848</v>
      </c>
      <c r="D63" s="4" t="s">
        <v>845</v>
      </c>
      <c r="E63" s="4">
        <v>3139.74</v>
      </c>
      <c r="F63" s="5">
        <v>45091</v>
      </c>
    </row>
    <row r="64" spans="1:6" x14ac:dyDescent="0.4">
      <c r="A64" s="4" t="s">
        <v>122</v>
      </c>
      <c r="B64" s="4" t="s">
        <v>411</v>
      </c>
      <c r="C64" s="4" t="s">
        <v>843</v>
      </c>
      <c r="D64" s="4" t="s">
        <v>845</v>
      </c>
      <c r="E64" s="4">
        <v>1256.06</v>
      </c>
      <c r="F64" s="5">
        <v>45106</v>
      </c>
    </row>
    <row r="65" spans="1:6" x14ac:dyDescent="0.4">
      <c r="A65" s="4" t="s">
        <v>124</v>
      </c>
      <c r="B65" s="4" t="s">
        <v>413</v>
      </c>
      <c r="C65" s="4" t="s">
        <v>847</v>
      </c>
      <c r="D65" s="4" t="s">
        <v>842</v>
      </c>
      <c r="E65" s="4">
        <v>3815.93</v>
      </c>
      <c r="F65" s="5">
        <v>45077</v>
      </c>
    </row>
    <row r="66" spans="1:6" x14ac:dyDescent="0.4">
      <c r="A66" s="4" t="s">
        <v>126</v>
      </c>
      <c r="B66" s="4" t="s">
        <v>415</v>
      </c>
      <c r="C66" s="4" t="s">
        <v>846</v>
      </c>
      <c r="D66" s="4" t="s">
        <v>844</v>
      </c>
      <c r="E66" s="4">
        <v>4382.59</v>
      </c>
      <c r="F66" s="5">
        <v>45040</v>
      </c>
    </row>
    <row r="67" spans="1:6" x14ac:dyDescent="0.4">
      <c r="A67" s="4" t="s">
        <v>127</v>
      </c>
      <c r="B67" s="4" t="s">
        <v>417</v>
      </c>
      <c r="C67" s="4" t="s">
        <v>846</v>
      </c>
      <c r="D67" s="4" t="s">
        <v>844</v>
      </c>
      <c r="E67" s="4">
        <v>1475.33</v>
      </c>
      <c r="F67" s="5">
        <v>45056</v>
      </c>
    </row>
    <row r="68" spans="1:6" x14ac:dyDescent="0.4">
      <c r="A68" s="4" t="s">
        <v>128</v>
      </c>
      <c r="B68" s="4" t="s">
        <v>419</v>
      </c>
      <c r="C68" s="4" t="s">
        <v>841</v>
      </c>
      <c r="D68" s="4" t="s">
        <v>845</v>
      </c>
      <c r="E68" s="4">
        <v>930.72</v>
      </c>
      <c r="F68" s="5">
        <v>45148</v>
      </c>
    </row>
    <row r="69" spans="1:6" x14ac:dyDescent="0.4">
      <c r="A69" s="4" t="s">
        <v>130</v>
      </c>
      <c r="B69" s="4" t="s">
        <v>421</v>
      </c>
      <c r="C69" s="4" t="s">
        <v>846</v>
      </c>
      <c r="D69" s="4" t="s">
        <v>844</v>
      </c>
      <c r="E69" s="4">
        <v>606.37</v>
      </c>
      <c r="F69" s="5">
        <v>44999</v>
      </c>
    </row>
    <row r="70" spans="1:6" x14ac:dyDescent="0.4">
      <c r="A70" s="4" t="s">
        <v>131</v>
      </c>
      <c r="B70" s="4" t="s">
        <v>423</v>
      </c>
      <c r="C70" s="4" t="s">
        <v>843</v>
      </c>
      <c r="D70" s="4" t="s">
        <v>842</v>
      </c>
      <c r="E70" s="4">
        <v>3388.87</v>
      </c>
      <c r="F70" s="5">
        <v>45014</v>
      </c>
    </row>
    <row r="71" spans="1:6" x14ac:dyDescent="0.4">
      <c r="A71" s="4" t="s">
        <v>132</v>
      </c>
      <c r="B71" s="4" t="s">
        <v>425</v>
      </c>
      <c r="C71" s="4" t="s">
        <v>843</v>
      </c>
      <c r="D71" s="4" t="s">
        <v>842</v>
      </c>
      <c r="E71" s="4">
        <v>3231.92</v>
      </c>
      <c r="F71" s="5">
        <v>45164</v>
      </c>
    </row>
    <row r="72" spans="1:6" x14ac:dyDescent="0.4">
      <c r="A72" s="4" t="s">
        <v>133</v>
      </c>
      <c r="B72" s="4" t="s">
        <v>427</v>
      </c>
      <c r="C72" s="4" t="s">
        <v>846</v>
      </c>
      <c r="D72" s="4" t="s">
        <v>844</v>
      </c>
      <c r="E72" s="4">
        <v>2960.14</v>
      </c>
      <c r="F72" s="5">
        <v>44952</v>
      </c>
    </row>
    <row r="73" spans="1:6" x14ac:dyDescent="0.4">
      <c r="A73" s="4" t="s">
        <v>134</v>
      </c>
      <c r="B73" s="4" t="s">
        <v>429</v>
      </c>
      <c r="C73" s="4" t="s">
        <v>846</v>
      </c>
      <c r="D73" s="4" t="s">
        <v>844</v>
      </c>
      <c r="E73" s="4">
        <v>1543.76</v>
      </c>
      <c r="F73" s="5">
        <v>45089</v>
      </c>
    </row>
    <row r="74" spans="1:6" x14ac:dyDescent="0.4">
      <c r="A74" s="4" t="s">
        <v>135</v>
      </c>
      <c r="B74" s="4" t="s">
        <v>431</v>
      </c>
      <c r="C74" s="4" t="s">
        <v>841</v>
      </c>
      <c r="D74" s="4" t="s">
        <v>845</v>
      </c>
      <c r="E74" s="4">
        <v>2259.08</v>
      </c>
      <c r="F74" s="5">
        <v>45284</v>
      </c>
    </row>
    <row r="75" spans="1:6" x14ac:dyDescent="0.4">
      <c r="A75" s="4" t="s">
        <v>136</v>
      </c>
      <c r="B75" s="4" t="s">
        <v>433</v>
      </c>
      <c r="C75" s="4" t="s">
        <v>846</v>
      </c>
      <c r="D75" s="4" t="s">
        <v>844</v>
      </c>
      <c r="E75" s="4">
        <v>3175.14</v>
      </c>
      <c r="F75" s="5">
        <v>45130</v>
      </c>
    </row>
    <row r="76" spans="1:6" x14ac:dyDescent="0.4">
      <c r="A76" s="4" t="s">
        <v>137</v>
      </c>
      <c r="B76" s="4" t="s">
        <v>435</v>
      </c>
      <c r="C76" s="4" t="s">
        <v>841</v>
      </c>
      <c r="D76" s="4" t="s">
        <v>845</v>
      </c>
      <c r="E76" s="4">
        <v>2735.45</v>
      </c>
      <c r="F76" s="5">
        <v>45054</v>
      </c>
    </row>
    <row r="77" spans="1:6" x14ac:dyDescent="0.4">
      <c r="A77" s="4" t="s">
        <v>138</v>
      </c>
      <c r="B77" s="4" t="s">
        <v>437</v>
      </c>
      <c r="C77" s="4" t="s">
        <v>841</v>
      </c>
      <c r="D77" s="4" t="s">
        <v>845</v>
      </c>
      <c r="E77" s="4">
        <v>4945.03</v>
      </c>
      <c r="F77" s="5">
        <v>45257</v>
      </c>
    </row>
    <row r="78" spans="1:6" x14ac:dyDescent="0.4">
      <c r="A78" s="4" t="s">
        <v>140</v>
      </c>
      <c r="B78" s="4" t="s">
        <v>439</v>
      </c>
      <c r="C78" s="4" t="s">
        <v>846</v>
      </c>
      <c r="D78" s="4" t="s">
        <v>842</v>
      </c>
      <c r="E78" s="4">
        <v>1113.98</v>
      </c>
      <c r="F78" s="5">
        <v>45274</v>
      </c>
    </row>
    <row r="79" spans="1:6" x14ac:dyDescent="0.4">
      <c r="A79" s="4" t="s">
        <v>141</v>
      </c>
      <c r="B79" s="4" t="s">
        <v>441</v>
      </c>
      <c r="C79" s="4" t="s">
        <v>848</v>
      </c>
      <c r="D79" s="4" t="s">
        <v>842</v>
      </c>
      <c r="E79" s="4">
        <v>3628.15</v>
      </c>
      <c r="F79" s="5">
        <v>45186</v>
      </c>
    </row>
    <row r="80" spans="1:6" x14ac:dyDescent="0.4">
      <c r="A80" s="4" t="s">
        <v>143</v>
      </c>
      <c r="B80" s="4" t="s">
        <v>443</v>
      </c>
      <c r="C80" s="4" t="s">
        <v>848</v>
      </c>
      <c r="D80" s="4" t="s">
        <v>842</v>
      </c>
      <c r="E80" s="4">
        <v>2319.4299999999998</v>
      </c>
      <c r="F80" s="5">
        <v>45286</v>
      </c>
    </row>
    <row r="81" spans="1:6" x14ac:dyDescent="0.4">
      <c r="A81" s="4" t="s">
        <v>144</v>
      </c>
      <c r="B81" s="4" t="s">
        <v>445</v>
      </c>
      <c r="C81" s="4" t="s">
        <v>841</v>
      </c>
      <c r="D81" s="4" t="s">
        <v>842</v>
      </c>
      <c r="E81" s="4">
        <v>2426.9</v>
      </c>
      <c r="F81" s="5">
        <v>45103</v>
      </c>
    </row>
    <row r="82" spans="1:6" x14ac:dyDescent="0.4">
      <c r="A82" s="4" t="s">
        <v>145</v>
      </c>
      <c r="B82" s="4" t="s">
        <v>447</v>
      </c>
      <c r="C82" s="4" t="s">
        <v>846</v>
      </c>
      <c r="D82" s="4" t="s">
        <v>844</v>
      </c>
      <c r="E82" s="4">
        <v>3729.19</v>
      </c>
      <c r="F82" s="5">
        <v>44932</v>
      </c>
    </row>
    <row r="83" spans="1:6" x14ac:dyDescent="0.4">
      <c r="A83" s="4" t="s">
        <v>146</v>
      </c>
      <c r="B83" s="4" t="s">
        <v>449</v>
      </c>
      <c r="C83" s="4" t="s">
        <v>848</v>
      </c>
      <c r="D83" s="4" t="s">
        <v>842</v>
      </c>
      <c r="E83" s="4">
        <v>3615.96</v>
      </c>
      <c r="F83" s="5">
        <v>44946</v>
      </c>
    </row>
    <row r="84" spans="1:6" x14ac:dyDescent="0.4">
      <c r="A84" s="4" t="s">
        <v>147</v>
      </c>
      <c r="B84" s="4" t="s">
        <v>451</v>
      </c>
      <c r="C84" s="4" t="s">
        <v>846</v>
      </c>
      <c r="D84" s="4" t="s">
        <v>844</v>
      </c>
      <c r="E84" s="4">
        <v>4960.6499999999996</v>
      </c>
      <c r="F84" s="5">
        <v>45237</v>
      </c>
    </row>
    <row r="85" spans="1:6" x14ac:dyDescent="0.4">
      <c r="A85" s="4" t="s">
        <v>148</v>
      </c>
      <c r="B85" s="4" t="s">
        <v>453</v>
      </c>
      <c r="C85" s="4" t="s">
        <v>846</v>
      </c>
      <c r="D85" s="4" t="s">
        <v>842</v>
      </c>
      <c r="E85" s="4">
        <v>1077.77</v>
      </c>
      <c r="F85" s="5">
        <v>45077</v>
      </c>
    </row>
    <row r="86" spans="1:6" x14ac:dyDescent="0.4">
      <c r="A86" s="4" t="s">
        <v>149</v>
      </c>
      <c r="B86" s="4" t="s">
        <v>455</v>
      </c>
      <c r="C86" s="4" t="s">
        <v>846</v>
      </c>
      <c r="D86" s="4" t="s">
        <v>844</v>
      </c>
      <c r="E86" s="4">
        <v>968.49</v>
      </c>
      <c r="F86" s="5">
        <v>44975</v>
      </c>
    </row>
    <row r="87" spans="1:6" x14ac:dyDescent="0.4">
      <c r="A87" s="4" t="s">
        <v>150</v>
      </c>
      <c r="B87" s="4" t="s">
        <v>457</v>
      </c>
      <c r="C87" s="4" t="s">
        <v>847</v>
      </c>
      <c r="D87" s="4" t="s">
        <v>845</v>
      </c>
      <c r="E87" s="4">
        <v>3759.52</v>
      </c>
      <c r="F87" s="5">
        <v>45228</v>
      </c>
    </row>
    <row r="88" spans="1:6" x14ac:dyDescent="0.4">
      <c r="A88" s="4" t="s">
        <v>152</v>
      </c>
      <c r="B88" s="4" t="s">
        <v>459</v>
      </c>
      <c r="C88" s="4" t="s">
        <v>846</v>
      </c>
      <c r="D88" s="4" t="s">
        <v>844</v>
      </c>
      <c r="E88" s="4">
        <v>3102.74</v>
      </c>
      <c r="F88" s="5">
        <v>45218</v>
      </c>
    </row>
    <row r="89" spans="1:6" x14ac:dyDescent="0.4">
      <c r="A89" s="4" t="s">
        <v>153</v>
      </c>
      <c r="B89" s="4" t="s">
        <v>461</v>
      </c>
      <c r="C89" s="4" t="s">
        <v>847</v>
      </c>
      <c r="D89" s="4" t="s">
        <v>844</v>
      </c>
      <c r="E89" s="4">
        <v>1733.72</v>
      </c>
      <c r="F89" s="5">
        <v>45048</v>
      </c>
    </row>
    <row r="90" spans="1:6" x14ac:dyDescent="0.4">
      <c r="A90" s="4" t="s">
        <v>155</v>
      </c>
      <c r="B90" s="4" t="s">
        <v>463</v>
      </c>
      <c r="C90" s="4" t="s">
        <v>841</v>
      </c>
      <c r="D90" s="4" t="s">
        <v>842</v>
      </c>
      <c r="E90" s="4">
        <v>857.39</v>
      </c>
      <c r="F90" s="5">
        <v>44971</v>
      </c>
    </row>
    <row r="91" spans="1:6" x14ac:dyDescent="0.4">
      <c r="A91" s="4" t="s">
        <v>156</v>
      </c>
      <c r="B91" s="4" t="s">
        <v>465</v>
      </c>
      <c r="C91" s="4" t="s">
        <v>848</v>
      </c>
      <c r="D91" s="4" t="s">
        <v>844</v>
      </c>
      <c r="E91" s="4">
        <v>885.46</v>
      </c>
      <c r="F91" s="5">
        <v>45078</v>
      </c>
    </row>
    <row r="92" spans="1:6" x14ac:dyDescent="0.4">
      <c r="A92" s="4" t="s">
        <v>157</v>
      </c>
      <c r="B92" s="4" t="s">
        <v>467</v>
      </c>
      <c r="C92" s="4" t="s">
        <v>848</v>
      </c>
      <c r="D92" s="4" t="s">
        <v>845</v>
      </c>
      <c r="E92" s="4">
        <v>4523.8599999999997</v>
      </c>
      <c r="F92" s="5">
        <v>45088</v>
      </c>
    </row>
    <row r="93" spans="1:6" x14ac:dyDescent="0.4">
      <c r="A93" s="4" t="s">
        <v>158</v>
      </c>
      <c r="B93" s="4" t="s">
        <v>469</v>
      </c>
      <c r="C93" s="4" t="s">
        <v>848</v>
      </c>
      <c r="D93" s="4" t="s">
        <v>845</v>
      </c>
      <c r="E93" s="4">
        <v>1363.4</v>
      </c>
      <c r="F93" s="5">
        <v>44956</v>
      </c>
    </row>
    <row r="94" spans="1:6" x14ac:dyDescent="0.4">
      <c r="A94" s="4" t="s">
        <v>159</v>
      </c>
      <c r="B94" s="4" t="s">
        <v>471</v>
      </c>
      <c r="C94" s="4" t="s">
        <v>848</v>
      </c>
      <c r="D94" s="4" t="s">
        <v>842</v>
      </c>
      <c r="E94" s="4">
        <v>1955.17</v>
      </c>
      <c r="F94" s="5">
        <v>45025</v>
      </c>
    </row>
    <row r="95" spans="1:6" x14ac:dyDescent="0.4">
      <c r="A95" s="4" t="s">
        <v>160</v>
      </c>
      <c r="B95" s="4" t="s">
        <v>473</v>
      </c>
      <c r="C95" s="4" t="s">
        <v>848</v>
      </c>
      <c r="D95" s="4" t="s">
        <v>845</v>
      </c>
      <c r="E95" s="4">
        <v>1519.95</v>
      </c>
      <c r="F95" s="5">
        <v>45024</v>
      </c>
    </row>
    <row r="96" spans="1:6" x14ac:dyDescent="0.4">
      <c r="A96" s="4" t="s">
        <v>162</v>
      </c>
      <c r="B96" s="4" t="s">
        <v>475</v>
      </c>
      <c r="C96" s="4" t="s">
        <v>848</v>
      </c>
      <c r="D96" s="4" t="s">
        <v>844</v>
      </c>
      <c r="E96" s="4">
        <v>2097.48</v>
      </c>
      <c r="F96" s="5">
        <v>45055</v>
      </c>
    </row>
    <row r="97" spans="1:6" x14ac:dyDescent="0.4">
      <c r="A97" s="4" t="s">
        <v>164</v>
      </c>
      <c r="B97" s="4" t="s">
        <v>477</v>
      </c>
      <c r="C97" s="4" t="s">
        <v>848</v>
      </c>
      <c r="D97" s="4" t="s">
        <v>845</v>
      </c>
      <c r="E97" s="4">
        <v>812.41</v>
      </c>
      <c r="F97" s="5">
        <v>45114</v>
      </c>
    </row>
    <row r="98" spans="1:6" x14ac:dyDescent="0.4">
      <c r="A98" s="4" t="s">
        <v>165</v>
      </c>
      <c r="B98" s="4" t="s">
        <v>479</v>
      </c>
      <c r="C98" s="4" t="s">
        <v>841</v>
      </c>
      <c r="D98" s="4" t="s">
        <v>842</v>
      </c>
      <c r="E98" s="4">
        <v>2835.77</v>
      </c>
      <c r="F98" s="5">
        <v>45052</v>
      </c>
    </row>
    <row r="99" spans="1:6" x14ac:dyDescent="0.4">
      <c r="A99" s="4" t="s">
        <v>166</v>
      </c>
      <c r="B99" s="4" t="s">
        <v>481</v>
      </c>
      <c r="C99" s="4" t="s">
        <v>846</v>
      </c>
      <c r="D99" s="4" t="s">
        <v>844</v>
      </c>
      <c r="E99" s="4">
        <v>804.26</v>
      </c>
      <c r="F99" s="5">
        <v>45002</v>
      </c>
    </row>
    <row r="100" spans="1:6" x14ac:dyDescent="0.4">
      <c r="A100" s="4" t="s">
        <v>167</v>
      </c>
      <c r="B100" s="4" t="s">
        <v>483</v>
      </c>
      <c r="C100" s="4" t="s">
        <v>843</v>
      </c>
      <c r="D100" s="4" t="s">
        <v>842</v>
      </c>
      <c r="E100" s="4">
        <v>4101.6000000000004</v>
      </c>
      <c r="F100" s="5">
        <v>45111</v>
      </c>
    </row>
    <row r="101" spans="1:6" x14ac:dyDescent="0.4">
      <c r="A101" s="4" t="s">
        <v>169</v>
      </c>
      <c r="B101" s="4" t="s">
        <v>485</v>
      </c>
      <c r="C101" s="4" t="s">
        <v>847</v>
      </c>
      <c r="D101" s="4" t="s">
        <v>844</v>
      </c>
      <c r="E101" s="4">
        <v>1551.7</v>
      </c>
      <c r="F101" s="5">
        <v>44987</v>
      </c>
    </row>
    <row r="102" spans="1:6" x14ac:dyDescent="0.4">
      <c r="A102" s="4" t="s">
        <v>170</v>
      </c>
      <c r="B102" s="4" t="s">
        <v>487</v>
      </c>
      <c r="C102" s="4" t="s">
        <v>843</v>
      </c>
      <c r="D102" s="4" t="s">
        <v>845</v>
      </c>
      <c r="E102" s="4">
        <v>2930.05</v>
      </c>
      <c r="F102" s="5">
        <v>45190</v>
      </c>
    </row>
    <row r="103" spans="1:6" x14ac:dyDescent="0.4">
      <c r="A103" s="4" t="s">
        <v>171</v>
      </c>
      <c r="B103" s="4" t="s">
        <v>489</v>
      </c>
      <c r="C103" s="4" t="s">
        <v>843</v>
      </c>
      <c r="D103" s="4" t="s">
        <v>842</v>
      </c>
      <c r="E103" s="4">
        <v>4460.3599999999997</v>
      </c>
      <c r="F103" s="5">
        <v>45224</v>
      </c>
    </row>
    <row r="104" spans="1:6" x14ac:dyDescent="0.4">
      <c r="A104" s="4" t="s">
        <v>172</v>
      </c>
      <c r="B104" s="4" t="s">
        <v>491</v>
      </c>
      <c r="C104" s="4" t="s">
        <v>846</v>
      </c>
      <c r="D104" s="4" t="s">
        <v>842</v>
      </c>
      <c r="E104" s="4">
        <v>3428.95</v>
      </c>
      <c r="F104" s="5">
        <v>44950</v>
      </c>
    </row>
    <row r="105" spans="1:6" x14ac:dyDescent="0.4">
      <c r="A105" s="4" t="s">
        <v>173</v>
      </c>
      <c r="B105" s="4" t="s">
        <v>493</v>
      </c>
      <c r="C105" s="4" t="s">
        <v>846</v>
      </c>
      <c r="D105" s="4" t="s">
        <v>844</v>
      </c>
      <c r="E105" s="4">
        <v>2898.31</v>
      </c>
      <c r="F105" s="5">
        <v>45034</v>
      </c>
    </row>
    <row r="106" spans="1:6" x14ac:dyDescent="0.4">
      <c r="A106" s="4" t="s">
        <v>174</v>
      </c>
      <c r="B106" s="4" t="s">
        <v>495</v>
      </c>
      <c r="C106" s="4" t="s">
        <v>846</v>
      </c>
      <c r="D106" s="4" t="s">
        <v>842</v>
      </c>
      <c r="E106" s="4">
        <v>1959.5</v>
      </c>
      <c r="F106" s="5">
        <v>45152</v>
      </c>
    </row>
    <row r="107" spans="1:6" x14ac:dyDescent="0.4">
      <c r="A107" s="4" t="s">
        <v>175</v>
      </c>
      <c r="B107" s="4" t="s">
        <v>497</v>
      </c>
      <c r="C107" s="4" t="s">
        <v>848</v>
      </c>
      <c r="D107" s="4" t="s">
        <v>844</v>
      </c>
      <c r="E107" s="4">
        <v>1998.51</v>
      </c>
      <c r="F107" s="5">
        <v>45228</v>
      </c>
    </row>
    <row r="108" spans="1:6" x14ac:dyDescent="0.4">
      <c r="A108" s="4" t="s">
        <v>176</v>
      </c>
      <c r="B108" s="4" t="s">
        <v>499</v>
      </c>
      <c r="C108" s="4" t="s">
        <v>841</v>
      </c>
      <c r="D108" s="4" t="s">
        <v>844</v>
      </c>
      <c r="E108" s="4">
        <v>3512.69</v>
      </c>
      <c r="F108" s="5">
        <v>45033</v>
      </c>
    </row>
    <row r="109" spans="1:6" x14ac:dyDescent="0.4">
      <c r="A109" s="4" t="s">
        <v>178</v>
      </c>
      <c r="B109" s="4" t="s">
        <v>501</v>
      </c>
      <c r="C109" s="4" t="s">
        <v>848</v>
      </c>
      <c r="D109" s="4" t="s">
        <v>844</v>
      </c>
      <c r="E109" s="4">
        <v>4973.63</v>
      </c>
      <c r="F109" s="5">
        <v>45037</v>
      </c>
    </row>
    <row r="110" spans="1:6" x14ac:dyDescent="0.4">
      <c r="A110" s="4" t="s">
        <v>179</v>
      </c>
      <c r="B110" s="4" t="s">
        <v>503</v>
      </c>
      <c r="C110" s="4" t="s">
        <v>841</v>
      </c>
      <c r="D110" s="4" t="s">
        <v>844</v>
      </c>
      <c r="E110" s="4">
        <v>3478.28</v>
      </c>
      <c r="F110" s="5">
        <v>45136</v>
      </c>
    </row>
    <row r="111" spans="1:6" x14ac:dyDescent="0.4">
      <c r="A111" s="4" t="s">
        <v>180</v>
      </c>
      <c r="B111" s="4" t="s">
        <v>505</v>
      </c>
      <c r="C111" s="4" t="s">
        <v>841</v>
      </c>
      <c r="D111" s="4" t="s">
        <v>845</v>
      </c>
      <c r="E111" s="4">
        <v>3010.03</v>
      </c>
      <c r="F111" s="5">
        <v>45126</v>
      </c>
    </row>
    <row r="112" spans="1:6" x14ac:dyDescent="0.4">
      <c r="A112" s="4" t="s">
        <v>181</v>
      </c>
      <c r="B112" s="4" t="s">
        <v>507</v>
      </c>
      <c r="C112" s="4" t="s">
        <v>843</v>
      </c>
      <c r="D112" s="4" t="s">
        <v>844</v>
      </c>
      <c r="E112" s="4">
        <v>3787.93</v>
      </c>
      <c r="F112" s="5">
        <v>45068</v>
      </c>
    </row>
    <row r="113" spans="1:6" x14ac:dyDescent="0.4">
      <c r="A113" s="4" t="s">
        <v>182</v>
      </c>
      <c r="B113" s="4" t="s">
        <v>509</v>
      </c>
      <c r="C113" s="4" t="s">
        <v>843</v>
      </c>
      <c r="D113" s="4" t="s">
        <v>842</v>
      </c>
      <c r="E113" s="4">
        <v>2593.4299999999998</v>
      </c>
      <c r="F113" s="5">
        <v>44937</v>
      </c>
    </row>
    <row r="114" spans="1:6" x14ac:dyDescent="0.4">
      <c r="A114" s="4" t="s">
        <v>183</v>
      </c>
      <c r="B114" s="4" t="s">
        <v>511</v>
      </c>
      <c r="C114" s="4" t="s">
        <v>841</v>
      </c>
      <c r="D114" s="4" t="s">
        <v>845</v>
      </c>
      <c r="E114" s="4">
        <v>770.64</v>
      </c>
      <c r="F114" s="5">
        <v>45254</v>
      </c>
    </row>
    <row r="115" spans="1:6" x14ac:dyDescent="0.4">
      <c r="A115" s="4" t="s">
        <v>184</v>
      </c>
      <c r="B115" s="4" t="s">
        <v>513</v>
      </c>
      <c r="C115" s="4" t="s">
        <v>841</v>
      </c>
      <c r="D115" s="4" t="s">
        <v>842</v>
      </c>
      <c r="E115" s="4">
        <v>3030.34</v>
      </c>
      <c r="F115" s="5">
        <v>45146</v>
      </c>
    </row>
    <row r="116" spans="1:6" x14ac:dyDescent="0.4">
      <c r="A116" s="4" t="s">
        <v>186</v>
      </c>
      <c r="B116" s="4" t="s">
        <v>515</v>
      </c>
      <c r="C116" s="4" t="s">
        <v>848</v>
      </c>
      <c r="D116" s="4" t="s">
        <v>845</v>
      </c>
      <c r="E116" s="4">
        <v>4809.3100000000004</v>
      </c>
      <c r="F116" s="5">
        <v>45224</v>
      </c>
    </row>
    <row r="117" spans="1:6" x14ac:dyDescent="0.4">
      <c r="A117" s="4" t="s">
        <v>187</v>
      </c>
      <c r="B117" s="4" t="s">
        <v>517</v>
      </c>
      <c r="C117" s="4" t="s">
        <v>848</v>
      </c>
      <c r="D117" s="4" t="s">
        <v>844</v>
      </c>
      <c r="E117" s="4">
        <v>1288.8599999999999</v>
      </c>
      <c r="F117" s="5">
        <v>45114</v>
      </c>
    </row>
    <row r="118" spans="1:6" x14ac:dyDescent="0.4">
      <c r="A118" s="4" t="s">
        <v>188</v>
      </c>
      <c r="B118" s="4" t="s">
        <v>519</v>
      </c>
      <c r="C118" s="4" t="s">
        <v>843</v>
      </c>
      <c r="D118" s="4" t="s">
        <v>845</v>
      </c>
      <c r="E118" s="4">
        <v>3605.02</v>
      </c>
      <c r="F118" s="5">
        <v>45097</v>
      </c>
    </row>
    <row r="119" spans="1:6" x14ac:dyDescent="0.4">
      <c r="A119" s="4" t="s">
        <v>189</v>
      </c>
      <c r="B119" s="4" t="s">
        <v>521</v>
      </c>
      <c r="C119" s="4" t="s">
        <v>846</v>
      </c>
      <c r="D119" s="4" t="s">
        <v>845</v>
      </c>
      <c r="E119" s="4">
        <v>1404.2</v>
      </c>
      <c r="F119" s="5">
        <v>45147</v>
      </c>
    </row>
    <row r="120" spans="1:6" x14ac:dyDescent="0.4">
      <c r="A120" s="4" t="s">
        <v>190</v>
      </c>
      <c r="B120" s="4" t="s">
        <v>523</v>
      </c>
      <c r="C120" s="4" t="s">
        <v>841</v>
      </c>
      <c r="D120" s="4" t="s">
        <v>842</v>
      </c>
      <c r="E120" s="4">
        <v>2911.22</v>
      </c>
      <c r="F120" s="5">
        <v>45278</v>
      </c>
    </row>
    <row r="121" spans="1:6" x14ac:dyDescent="0.4">
      <c r="A121" s="4" t="s">
        <v>191</v>
      </c>
      <c r="B121" s="4" t="s">
        <v>525</v>
      </c>
      <c r="C121" s="4" t="s">
        <v>848</v>
      </c>
      <c r="D121" s="4" t="s">
        <v>842</v>
      </c>
      <c r="E121" s="4">
        <v>935.04</v>
      </c>
      <c r="F121" s="5">
        <v>45268</v>
      </c>
    </row>
    <row r="122" spans="1:6" x14ac:dyDescent="0.4">
      <c r="A122" s="4" t="s">
        <v>192</v>
      </c>
      <c r="B122" s="4" t="s">
        <v>527</v>
      </c>
      <c r="C122" s="4" t="s">
        <v>843</v>
      </c>
      <c r="D122" s="4" t="s">
        <v>844</v>
      </c>
      <c r="E122" s="4">
        <v>2526.67</v>
      </c>
      <c r="F122" s="5">
        <v>45023</v>
      </c>
    </row>
    <row r="123" spans="1:6" x14ac:dyDescent="0.4">
      <c r="A123" s="4" t="s">
        <v>193</v>
      </c>
      <c r="B123" s="4" t="s">
        <v>529</v>
      </c>
      <c r="C123" s="4" t="s">
        <v>848</v>
      </c>
      <c r="D123" s="4" t="s">
        <v>845</v>
      </c>
      <c r="E123" s="4">
        <v>3902.73</v>
      </c>
      <c r="F123" s="5">
        <v>45118</v>
      </c>
    </row>
    <row r="124" spans="1:6" x14ac:dyDescent="0.4">
      <c r="A124" s="4" t="s">
        <v>194</v>
      </c>
      <c r="B124" s="4" t="s">
        <v>531</v>
      </c>
      <c r="C124" s="4" t="s">
        <v>841</v>
      </c>
      <c r="D124" s="4" t="s">
        <v>845</v>
      </c>
      <c r="E124" s="4">
        <v>2064.0700000000002</v>
      </c>
      <c r="F124" s="5">
        <v>44985</v>
      </c>
    </row>
    <row r="125" spans="1:6" x14ac:dyDescent="0.4">
      <c r="A125" s="4" t="s">
        <v>195</v>
      </c>
      <c r="B125" s="4" t="s">
        <v>533</v>
      </c>
      <c r="C125" s="4" t="s">
        <v>841</v>
      </c>
      <c r="D125" s="4" t="s">
        <v>845</v>
      </c>
      <c r="E125" s="4">
        <v>3492.1</v>
      </c>
      <c r="F125" s="5">
        <v>45001</v>
      </c>
    </row>
    <row r="126" spans="1:6" x14ac:dyDescent="0.4">
      <c r="A126" s="4" t="s">
        <v>196</v>
      </c>
      <c r="B126" s="4" t="s">
        <v>535</v>
      </c>
      <c r="C126" s="4" t="s">
        <v>847</v>
      </c>
      <c r="D126" s="4" t="s">
        <v>844</v>
      </c>
      <c r="E126" s="4">
        <v>4079.52</v>
      </c>
      <c r="F126" s="5">
        <v>44975</v>
      </c>
    </row>
    <row r="127" spans="1:6" x14ac:dyDescent="0.4">
      <c r="A127" s="4" t="s">
        <v>197</v>
      </c>
      <c r="B127" s="4" t="s">
        <v>537</v>
      </c>
      <c r="C127" s="4" t="s">
        <v>846</v>
      </c>
      <c r="D127" s="4" t="s">
        <v>844</v>
      </c>
      <c r="E127" s="4">
        <v>4672.3</v>
      </c>
      <c r="F127" s="5">
        <v>45232</v>
      </c>
    </row>
    <row r="128" spans="1:6" x14ac:dyDescent="0.4">
      <c r="A128" s="4" t="s">
        <v>198</v>
      </c>
      <c r="B128" s="4" t="s">
        <v>539</v>
      </c>
      <c r="C128" s="4" t="s">
        <v>847</v>
      </c>
      <c r="D128" s="4" t="s">
        <v>844</v>
      </c>
      <c r="E128" s="4">
        <v>1555.89</v>
      </c>
      <c r="F128" s="5">
        <v>45243</v>
      </c>
    </row>
    <row r="129" spans="1:6" x14ac:dyDescent="0.4">
      <c r="A129" s="4" t="s">
        <v>199</v>
      </c>
      <c r="B129" s="4" t="s">
        <v>541</v>
      </c>
      <c r="C129" s="4" t="s">
        <v>843</v>
      </c>
      <c r="D129" s="4" t="s">
        <v>844</v>
      </c>
      <c r="E129" s="4">
        <v>2296.92</v>
      </c>
      <c r="F129" s="5">
        <v>45031</v>
      </c>
    </row>
    <row r="130" spans="1:6" x14ac:dyDescent="0.4">
      <c r="A130" s="4" t="s">
        <v>200</v>
      </c>
      <c r="B130" s="4" t="s">
        <v>543</v>
      </c>
      <c r="C130" s="4" t="s">
        <v>848</v>
      </c>
      <c r="D130" s="4" t="s">
        <v>844</v>
      </c>
      <c r="E130" s="4">
        <v>1185.8699999999999</v>
      </c>
      <c r="F130" s="5">
        <v>45163</v>
      </c>
    </row>
    <row r="131" spans="1:6" x14ac:dyDescent="0.4">
      <c r="A131" s="4" t="s">
        <v>201</v>
      </c>
      <c r="B131" s="4" t="s">
        <v>545</v>
      </c>
      <c r="C131" s="4" t="s">
        <v>843</v>
      </c>
      <c r="D131" s="4" t="s">
        <v>842</v>
      </c>
      <c r="E131" s="4">
        <v>4966.18</v>
      </c>
      <c r="F131" s="5">
        <v>44980</v>
      </c>
    </row>
    <row r="132" spans="1:6" x14ac:dyDescent="0.4">
      <c r="A132" s="4" t="s">
        <v>202</v>
      </c>
      <c r="B132" s="4" t="s">
        <v>547</v>
      </c>
      <c r="C132" s="4" t="s">
        <v>841</v>
      </c>
      <c r="D132" s="4" t="s">
        <v>845</v>
      </c>
      <c r="E132" s="4">
        <v>4671.5</v>
      </c>
      <c r="F132" s="5">
        <v>45057</v>
      </c>
    </row>
    <row r="133" spans="1:6" x14ac:dyDescent="0.4">
      <c r="A133" s="4" t="s">
        <v>203</v>
      </c>
      <c r="B133" s="4" t="s">
        <v>549</v>
      </c>
      <c r="C133" s="4" t="s">
        <v>847</v>
      </c>
      <c r="D133" s="4" t="s">
        <v>845</v>
      </c>
      <c r="E133" s="4">
        <v>2929.81</v>
      </c>
      <c r="F133" s="5">
        <v>45133</v>
      </c>
    </row>
    <row r="134" spans="1:6" x14ac:dyDescent="0.4">
      <c r="A134" s="4" t="s">
        <v>204</v>
      </c>
      <c r="B134" s="4" t="s">
        <v>551</v>
      </c>
      <c r="C134" s="4" t="s">
        <v>847</v>
      </c>
      <c r="D134" s="4" t="s">
        <v>845</v>
      </c>
      <c r="E134" s="4">
        <v>4289.1499999999996</v>
      </c>
      <c r="F134" s="5">
        <v>45008</v>
      </c>
    </row>
    <row r="135" spans="1:6" x14ac:dyDescent="0.4">
      <c r="A135" s="4" t="s">
        <v>205</v>
      </c>
      <c r="B135" s="4" t="s">
        <v>553</v>
      </c>
      <c r="C135" s="4" t="s">
        <v>847</v>
      </c>
      <c r="D135" s="4" t="s">
        <v>845</v>
      </c>
      <c r="E135" s="4">
        <v>2844.31</v>
      </c>
      <c r="F135" s="5">
        <v>45216</v>
      </c>
    </row>
    <row r="136" spans="1:6" x14ac:dyDescent="0.4">
      <c r="A136" s="4" t="s">
        <v>206</v>
      </c>
      <c r="B136" s="4" t="s">
        <v>555</v>
      </c>
      <c r="C136" s="4" t="s">
        <v>843</v>
      </c>
      <c r="D136" s="4" t="s">
        <v>845</v>
      </c>
      <c r="E136" s="4">
        <v>3306.14</v>
      </c>
      <c r="F136" s="5">
        <v>45178</v>
      </c>
    </row>
    <row r="137" spans="1:6" x14ac:dyDescent="0.4">
      <c r="A137" s="4" t="s">
        <v>207</v>
      </c>
      <c r="B137" s="4" t="s">
        <v>557</v>
      </c>
      <c r="C137" s="4" t="s">
        <v>841</v>
      </c>
      <c r="D137" s="4" t="s">
        <v>845</v>
      </c>
      <c r="E137" s="4">
        <v>901.06</v>
      </c>
      <c r="F137" s="5">
        <v>45059</v>
      </c>
    </row>
    <row r="138" spans="1:6" x14ac:dyDescent="0.4">
      <c r="A138" s="4" t="s">
        <v>208</v>
      </c>
      <c r="B138" s="4" t="s">
        <v>559</v>
      </c>
      <c r="C138" s="4" t="s">
        <v>848</v>
      </c>
      <c r="D138" s="4" t="s">
        <v>845</v>
      </c>
      <c r="E138" s="4">
        <v>3898.72</v>
      </c>
      <c r="F138" s="5">
        <v>45224</v>
      </c>
    </row>
    <row r="139" spans="1:6" x14ac:dyDescent="0.4">
      <c r="A139" s="4" t="s">
        <v>209</v>
      </c>
      <c r="B139" s="4" t="s">
        <v>561</v>
      </c>
      <c r="C139" s="4" t="s">
        <v>848</v>
      </c>
      <c r="D139" s="4" t="s">
        <v>845</v>
      </c>
      <c r="E139" s="4">
        <v>1074.71</v>
      </c>
      <c r="F139" s="5">
        <v>45286</v>
      </c>
    </row>
    <row r="140" spans="1:6" x14ac:dyDescent="0.4">
      <c r="A140" s="4" t="s">
        <v>210</v>
      </c>
      <c r="B140" s="4" t="s">
        <v>563</v>
      </c>
      <c r="C140" s="4" t="s">
        <v>843</v>
      </c>
      <c r="D140" s="4" t="s">
        <v>842</v>
      </c>
      <c r="E140" s="4">
        <v>4217.3</v>
      </c>
      <c r="F140" s="5">
        <v>45209</v>
      </c>
    </row>
    <row r="141" spans="1:6" x14ac:dyDescent="0.4">
      <c r="A141" s="4" t="s">
        <v>211</v>
      </c>
      <c r="B141" s="4" t="s">
        <v>565</v>
      </c>
      <c r="C141" s="4" t="s">
        <v>847</v>
      </c>
      <c r="D141" s="4" t="s">
        <v>845</v>
      </c>
      <c r="E141" s="4">
        <v>4019.13</v>
      </c>
      <c r="F141" s="5">
        <v>44962</v>
      </c>
    </row>
    <row r="142" spans="1:6" x14ac:dyDescent="0.4">
      <c r="A142" s="4" t="s">
        <v>212</v>
      </c>
      <c r="B142" s="4" t="s">
        <v>567</v>
      </c>
      <c r="C142" s="4" t="s">
        <v>846</v>
      </c>
      <c r="D142" s="4" t="s">
        <v>842</v>
      </c>
      <c r="E142" s="4">
        <v>3689.35</v>
      </c>
      <c r="F142" s="5">
        <v>45092</v>
      </c>
    </row>
    <row r="143" spans="1:6" x14ac:dyDescent="0.4">
      <c r="A143" s="4" t="s">
        <v>213</v>
      </c>
      <c r="B143" s="4" t="s">
        <v>569</v>
      </c>
      <c r="C143" s="4" t="s">
        <v>843</v>
      </c>
      <c r="D143" s="4" t="s">
        <v>844</v>
      </c>
      <c r="E143" s="4">
        <v>662.72</v>
      </c>
      <c r="F143" s="5">
        <v>45231</v>
      </c>
    </row>
    <row r="144" spans="1:6" x14ac:dyDescent="0.4">
      <c r="A144" s="4" t="s">
        <v>214</v>
      </c>
      <c r="B144" s="4" t="s">
        <v>571</v>
      </c>
      <c r="C144" s="4" t="s">
        <v>843</v>
      </c>
      <c r="D144" s="4" t="s">
        <v>845</v>
      </c>
      <c r="E144" s="4">
        <v>1864.08</v>
      </c>
      <c r="F144" s="5">
        <v>45190</v>
      </c>
    </row>
    <row r="145" spans="1:6" x14ac:dyDescent="0.4">
      <c r="A145" s="4" t="s">
        <v>215</v>
      </c>
      <c r="B145" s="4" t="s">
        <v>573</v>
      </c>
      <c r="C145" s="4" t="s">
        <v>841</v>
      </c>
      <c r="D145" s="4" t="s">
        <v>844</v>
      </c>
      <c r="E145" s="4">
        <v>1684.01</v>
      </c>
      <c r="F145" s="5">
        <v>45154</v>
      </c>
    </row>
    <row r="146" spans="1:6" x14ac:dyDescent="0.4">
      <c r="A146" s="4" t="s">
        <v>216</v>
      </c>
      <c r="B146" s="4" t="s">
        <v>575</v>
      </c>
      <c r="C146" s="4" t="s">
        <v>848</v>
      </c>
      <c r="D146" s="4" t="s">
        <v>844</v>
      </c>
      <c r="E146" s="4">
        <v>2120.61</v>
      </c>
      <c r="F146" s="5">
        <v>45241</v>
      </c>
    </row>
    <row r="147" spans="1:6" x14ac:dyDescent="0.4">
      <c r="A147" s="4" t="s">
        <v>217</v>
      </c>
      <c r="B147" s="4" t="s">
        <v>577</v>
      </c>
      <c r="C147" s="4" t="s">
        <v>843</v>
      </c>
      <c r="D147" s="4" t="s">
        <v>844</v>
      </c>
      <c r="E147" s="4">
        <v>894.39</v>
      </c>
      <c r="F147" s="5">
        <v>44931</v>
      </c>
    </row>
    <row r="148" spans="1:6" x14ac:dyDescent="0.4">
      <c r="A148" s="4" t="s">
        <v>218</v>
      </c>
      <c r="B148" s="4" t="s">
        <v>579</v>
      </c>
      <c r="C148" s="4" t="s">
        <v>843</v>
      </c>
      <c r="D148" s="4" t="s">
        <v>842</v>
      </c>
      <c r="E148" s="4">
        <v>4716.3100000000004</v>
      </c>
      <c r="F148" s="5">
        <v>45243</v>
      </c>
    </row>
    <row r="149" spans="1:6" x14ac:dyDescent="0.4">
      <c r="A149" s="4" t="s">
        <v>219</v>
      </c>
      <c r="B149" s="4" t="s">
        <v>581</v>
      </c>
      <c r="C149" s="4" t="s">
        <v>847</v>
      </c>
      <c r="D149" s="4" t="s">
        <v>844</v>
      </c>
      <c r="E149" s="4">
        <v>2992.11</v>
      </c>
      <c r="F149" s="5">
        <v>45266</v>
      </c>
    </row>
    <row r="150" spans="1:6" x14ac:dyDescent="0.4">
      <c r="A150" s="4" t="s">
        <v>220</v>
      </c>
      <c r="B150" s="4" t="s">
        <v>583</v>
      </c>
      <c r="C150" s="4" t="s">
        <v>847</v>
      </c>
      <c r="D150" s="4" t="s">
        <v>844</v>
      </c>
      <c r="E150" s="4">
        <v>1874.86</v>
      </c>
      <c r="F150" s="5">
        <v>45133</v>
      </c>
    </row>
    <row r="151" spans="1:6" x14ac:dyDescent="0.4">
      <c r="A151" s="4" t="s">
        <v>221</v>
      </c>
      <c r="B151" s="4" t="s">
        <v>585</v>
      </c>
      <c r="C151" s="4" t="s">
        <v>846</v>
      </c>
      <c r="D151" s="4" t="s">
        <v>844</v>
      </c>
      <c r="E151" s="4">
        <v>2286.42</v>
      </c>
      <c r="F151" s="5">
        <v>45154</v>
      </c>
    </row>
    <row r="152" spans="1:6" x14ac:dyDescent="0.4">
      <c r="A152" s="4" t="s">
        <v>222</v>
      </c>
      <c r="B152" s="4" t="s">
        <v>587</v>
      </c>
      <c r="C152" s="4" t="s">
        <v>841</v>
      </c>
      <c r="D152" s="4" t="s">
        <v>845</v>
      </c>
      <c r="E152" s="4">
        <v>2512.41</v>
      </c>
      <c r="F152" s="5">
        <v>44954</v>
      </c>
    </row>
    <row r="153" spans="1:6" x14ac:dyDescent="0.4">
      <c r="A153" s="4" t="s">
        <v>223</v>
      </c>
      <c r="B153" s="4" t="s">
        <v>589</v>
      </c>
      <c r="C153" s="4" t="s">
        <v>846</v>
      </c>
      <c r="D153" s="4" t="s">
        <v>845</v>
      </c>
      <c r="E153" s="4">
        <v>3202.67</v>
      </c>
      <c r="F153" s="5">
        <v>45030</v>
      </c>
    </row>
    <row r="154" spans="1:6" x14ac:dyDescent="0.4">
      <c r="A154" s="4" t="s">
        <v>224</v>
      </c>
      <c r="B154" s="4" t="s">
        <v>591</v>
      </c>
      <c r="C154" s="4" t="s">
        <v>847</v>
      </c>
      <c r="D154" s="4" t="s">
        <v>842</v>
      </c>
      <c r="E154" s="4">
        <v>2820.56</v>
      </c>
      <c r="F154" s="5">
        <v>45115</v>
      </c>
    </row>
    <row r="155" spans="1:6" x14ac:dyDescent="0.4">
      <c r="A155" s="4" t="s">
        <v>225</v>
      </c>
      <c r="B155" s="4" t="s">
        <v>593</v>
      </c>
      <c r="C155" s="4" t="s">
        <v>848</v>
      </c>
      <c r="D155" s="4" t="s">
        <v>842</v>
      </c>
      <c r="E155" s="4">
        <v>4637.26</v>
      </c>
      <c r="F155" s="5">
        <v>44991</v>
      </c>
    </row>
    <row r="156" spans="1:6" x14ac:dyDescent="0.4">
      <c r="A156" s="4" t="s">
        <v>226</v>
      </c>
      <c r="B156" s="4" t="s">
        <v>595</v>
      </c>
      <c r="C156" s="4" t="s">
        <v>847</v>
      </c>
      <c r="D156" s="4" t="s">
        <v>845</v>
      </c>
      <c r="E156" s="4">
        <v>2736.34</v>
      </c>
      <c r="F156" s="5">
        <v>44929</v>
      </c>
    </row>
    <row r="157" spans="1:6" x14ac:dyDescent="0.4">
      <c r="A157" s="4" t="s">
        <v>227</v>
      </c>
      <c r="B157" s="4" t="s">
        <v>597</v>
      </c>
      <c r="C157" s="4" t="s">
        <v>841</v>
      </c>
      <c r="D157" s="4" t="s">
        <v>842</v>
      </c>
      <c r="E157" s="4">
        <v>4964.71</v>
      </c>
      <c r="F157" s="5">
        <v>45252</v>
      </c>
    </row>
    <row r="158" spans="1:6" x14ac:dyDescent="0.4">
      <c r="A158" s="4" t="s">
        <v>228</v>
      </c>
      <c r="B158" s="4" t="s">
        <v>599</v>
      </c>
      <c r="C158" s="4" t="s">
        <v>847</v>
      </c>
      <c r="D158" s="4" t="s">
        <v>845</v>
      </c>
      <c r="E158" s="4">
        <v>4331.41</v>
      </c>
      <c r="F158" s="5">
        <v>45058</v>
      </c>
    </row>
    <row r="159" spans="1:6" x14ac:dyDescent="0.4">
      <c r="A159" s="4" t="s">
        <v>229</v>
      </c>
      <c r="B159" s="4" t="s">
        <v>601</v>
      </c>
      <c r="C159" s="4" t="s">
        <v>841</v>
      </c>
      <c r="D159" s="4" t="s">
        <v>844</v>
      </c>
      <c r="E159" s="4">
        <v>1438.3</v>
      </c>
      <c r="F159" s="5">
        <v>45119</v>
      </c>
    </row>
    <row r="160" spans="1:6" x14ac:dyDescent="0.4">
      <c r="A160" s="4" t="s">
        <v>230</v>
      </c>
      <c r="B160" s="4" t="s">
        <v>603</v>
      </c>
      <c r="C160" s="4" t="s">
        <v>841</v>
      </c>
      <c r="D160" s="4" t="s">
        <v>844</v>
      </c>
      <c r="E160" s="4">
        <v>4687.68</v>
      </c>
      <c r="F160" s="5">
        <v>45024</v>
      </c>
    </row>
    <row r="161" spans="1:6" x14ac:dyDescent="0.4">
      <c r="A161" s="4" t="s">
        <v>231</v>
      </c>
      <c r="B161" s="4" t="s">
        <v>605</v>
      </c>
      <c r="C161" s="4" t="s">
        <v>841</v>
      </c>
      <c r="D161" s="4" t="s">
        <v>842</v>
      </c>
      <c r="E161" s="4">
        <v>1023.65</v>
      </c>
      <c r="F161" s="5">
        <v>45277</v>
      </c>
    </row>
    <row r="162" spans="1:6" x14ac:dyDescent="0.4">
      <c r="A162" s="4" t="s">
        <v>232</v>
      </c>
      <c r="B162" s="4" t="s">
        <v>607</v>
      </c>
      <c r="C162" s="4" t="s">
        <v>841</v>
      </c>
      <c r="D162" s="4" t="s">
        <v>845</v>
      </c>
      <c r="E162" s="4">
        <v>4178.5200000000004</v>
      </c>
      <c r="F162" s="5">
        <v>45094</v>
      </c>
    </row>
    <row r="163" spans="1:6" x14ac:dyDescent="0.4">
      <c r="A163" s="4" t="s">
        <v>233</v>
      </c>
      <c r="B163" s="4" t="s">
        <v>609</v>
      </c>
      <c r="C163" s="4" t="s">
        <v>841</v>
      </c>
      <c r="D163" s="4" t="s">
        <v>845</v>
      </c>
      <c r="E163" s="4">
        <v>2212.8000000000002</v>
      </c>
      <c r="F163" s="5">
        <v>44927</v>
      </c>
    </row>
    <row r="164" spans="1:6" x14ac:dyDescent="0.4">
      <c r="A164" s="4" t="s">
        <v>235</v>
      </c>
      <c r="B164" s="4" t="s">
        <v>611</v>
      </c>
      <c r="C164" s="4" t="s">
        <v>848</v>
      </c>
      <c r="D164" s="4" t="s">
        <v>842</v>
      </c>
      <c r="E164" s="4">
        <v>4450.88</v>
      </c>
      <c r="F164" s="5">
        <v>45104</v>
      </c>
    </row>
    <row r="165" spans="1:6" x14ac:dyDescent="0.4">
      <c r="A165" s="4" t="s">
        <v>236</v>
      </c>
      <c r="B165" s="4" t="s">
        <v>613</v>
      </c>
      <c r="C165" s="4" t="s">
        <v>846</v>
      </c>
      <c r="D165" s="4" t="s">
        <v>845</v>
      </c>
      <c r="E165" s="4">
        <v>4406.26</v>
      </c>
      <c r="F165" s="5">
        <v>45135</v>
      </c>
    </row>
    <row r="166" spans="1:6" x14ac:dyDescent="0.4">
      <c r="A166" s="4" t="s">
        <v>237</v>
      </c>
      <c r="B166" s="4" t="s">
        <v>615</v>
      </c>
      <c r="C166" s="4" t="s">
        <v>843</v>
      </c>
      <c r="D166" s="4" t="s">
        <v>844</v>
      </c>
      <c r="E166" s="4">
        <v>4126.66</v>
      </c>
      <c r="F166" s="5">
        <v>45020</v>
      </c>
    </row>
    <row r="167" spans="1:6" x14ac:dyDescent="0.4">
      <c r="A167" s="4" t="s">
        <v>238</v>
      </c>
      <c r="B167" s="4" t="s">
        <v>617</v>
      </c>
      <c r="C167" s="4" t="s">
        <v>846</v>
      </c>
      <c r="D167" s="4" t="s">
        <v>842</v>
      </c>
      <c r="E167" s="4">
        <v>4055.14</v>
      </c>
      <c r="F167" s="5">
        <v>44938</v>
      </c>
    </row>
    <row r="168" spans="1:6" x14ac:dyDescent="0.4">
      <c r="A168" s="4" t="s">
        <v>239</v>
      </c>
      <c r="B168" s="4" t="s">
        <v>619</v>
      </c>
      <c r="C168" s="4" t="s">
        <v>841</v>
      </c>
      <c r="D168" s="4" t="s">
        <v>842</v>
      </c>
      <c r="E168" s="4">
        <v>1871.06</v>
      </c>
      <c r="F168" s="5">
        <v>45245</v>
      </c>
    </row>
    <row r="169" spans="1:6" x14ac:dyDescent="0.4">
      <c r="A169" s="4" t="s">
        <v>240</v>
      </c>
      <c r="B169" s="4" t="s">
        <v>621</v>
      </c>
      <c r="C169" s="4" t="s">
        <v>848</v>
      </c>
      <c r="D169" s="4" t="s">
        <v>845</v>
      </c>
      <c r="E169" s="4">
        <v>864.14</v>
      </c>
      <c r="F169" s="5">
        <v>45198</v>
      </c>
    </row>
    <row r="170" spans="1:6" x14ac:dyDescent="0.4">
      <c r="A170" s="4" t="s">
        <v>241</v>
      </c>
      <c r="B170" s="4" t="s">
        <v>623</v>
      </c>
      <c r="C170" s="4" t="s">
        <v>847</v>
      </c>
      <c r="D170" s="4" t="s">
        <v>842</v>
      </c>
      <c r="E170" s="4">
        <v>2313.41</v>
      </c>
      <c r="F170" s="5">
        <v>45131</v>
      </c>
    </row>
    <row r="171" spans="1:6" x14ac:dyDescent="0.4">
      <c r="A171" s="4" t="s">
        <v>242</v>
      </c>
      <c r="B171" s="4" t="s">
        <v>625</v>
      </c>
      <c r="C171" s="4" t="s">
        <v>848</v>
      </c>
      <c r="D171" s="4" t="s">
        <v>845</v>
      </c>
      <c r="E171" s="4">
        <v>1280.8599999999999</v>
      </c>
      <c r="F171" s="5">
        <v>44988</v>
      </c>
    </row>
    <row r="172" spans="1:6" x14ac:dyDescent="0.4">
      <c r="A172" s="4" t="s">
        <v>243</v>
      </c>
      <c r="B172" s="4" t="s">
        <v>627</v>
      </c>
      <c r="C172" s="4" t="s">
        <v>841</v>
      </c>
      <c r="D172" s="4" t="s">
        <v>845</v>
      </c>
      <c r="E172" s="4">
        <v>3627.28</v>
      </c>
      <c r="F172" s="5">
        <v>45034</v>
      </c>
    </row>
    <row r="173" spans="1:6" x14ac:dyDescent="0.4">
      <c r="A173" s="4" t="s">
        <v>244</v>
      </c>
      <c r="B173" s="4" t="s">
        <v>629</v>
      </c>
      <c r="C173" s="4" t="s">
        <v>848</v>
      </c>
      <c r="D173" s="4" t="s">
        <v>845</v>
      </c>
      <c r="E173" s="4">
        <v>2057.4499999999998</v>
      </c>
      <c r="F173" s="5">
        <v>44994</v>
      </c>
    </row>
    <row r="174" spans="1:6" x14ac:dyDescent="0.4">
      <c r="A174" s="4" t="s">
        <v>245</v>
      </c>
      <c r="B174" s="4" t="s">
        <v>631</v>
      </c>
      <c r="C174" s="4" t="s">
        <v>848</v>
      </c>
      <c r="D174" s="4" t="s">
        <v>845</v>
      </c>
      <c r="E174" s="4">
        <v>4890.25</v>
      </c>
      <c r="F174" s="5">
        <v>45081</v>
      </c>
    </row>
    <row r="175" spans="1:6" x14ac:dyDescent="0.4">
      <c r="A175" s="4" t="s">
        <v>246</v>
      </c>
      <c r="B175" s="4" t="s">
        <v>633</v>
      </c>
      <c r="C175" s="4" t="s">
        <v>841</v>
      </c>
      <c r="D175" s="4" t="s">
        <v>845</v>
      </c>
      <c r="E175" s="4">
        <v>3384.37</v>
      </c>
      <c r="F175" s="5">
        <v>45230</v>
      </c>
    </row>
    <row r="176" spans="1:6" x14ac:dyDescent="0.4">
      <c r="A176" s="4" t="s">
        <v>247</v>
      </c>
      <c r="B176" s="4" t="s">
        <v>635</v>
      </c>
      <c r="C176" s="4" t="s">
        <v>848</v>
      </c>
      <c r="D176" s="4" t="s">
        <v>842</v>
      </c>
      <c r="E176" s="4">
        <v>4201.16</v>
      </c>
      <c r="F176" s="5">
        <v>45221</v>
      </c>
    </row>
    <row r="177" spans="1:6" x14ac:dyDescent="0.4">
      <c r="A177" s="4" t="s">
        <v>248</v>
      </c>
      <c r="B177" s="4" t="s">
        <v>637</v>
      </c>
      <c r="C177" s="4" t="s">
        <v>843</v>
      </c>
      <c r="D177" s="4" t="s">
        <v>844</v>
      </c>
      <c r="E177" s="4">
        <v>1096.3599999999999</v>
      </c>
      <c r="F177" s="5">
        <v>45042</v>
      </c>
    </row>
    <row r="178" spans="1:6" x14ac:dyDescent="0.4">
      <c r="A178" s="4" t="s">
        <v>249</v>
      </c>
      <c r="B178" s="4" t="s">
        <v>639</v>
      </c>
      <c r="C178" s="4" t="s">
        <v>843</v>
      </c>
      <c r="D178" s="4" t="s">
        <v>844</v>
      </c>
      <c r="E178" s="4">
        <v>4379.07</v>
      </c>
      <c r="F178" s="5">
        <v>45154</v>
      </c>
    </row>
    <row r="179" spans="1:6" x14ac:dyDescent="0.4">
      <c r="A179" s="4" t="s">
        <v>250</v>
      </c>
      <c r="B179" s="4" t="s">
        <v>641</v>
      </c>
      <c r="C179" s="4" t="s">
        <v>848</v>
      </c>
      <c r="D179" s="4" t="s">
        <v>842</v>
      </c>
      <c r="E179" s="4">
        <v>4652.41</v>
      </c>
      <c r="F179" s="5">
        <v>44943</v>
      </c>
    </row>
    <row r="180" spans="1:6" x14ac:dyDescent="0.4">
      <c r="A180" s="4" t="s">
        <v>251</v>
      </c>
      <c r="B180" s="4" t="s">
        <v>643</v>
      </c>
      <c r="C180" s="4" t="s">
        <v>847</v>
      </c>
      <c r="D180" s="4" t="s">
        <v>842</v>
      </c>
      <c r="E180" s="4">
        <v>2691.78</v>
      </c>
      <c r="F180" s="5">
        <v>44993</v>
      </c>
    </row>
    <row r="181" spans="1:6" x14ac:dyDescent="0.4">
      <c r="A181" s="4" t="s">
        <v>253</v>
      </c>
      <c r="B181" s="4" t="s">
        <v>645</v>
      </c>
      <c r="C181" s="4" t="s">
        <v>841</v>
      </c>
      <c r="D181" s="4" t="s">
        <v>844</v>
      </c>
      <c r="E181" s="4">
        <v>3228.14</v>
      </c>
      <c r="F181" s="5">
        <v>44933</v>
      </c>
    </row>
    <row r="182" spans="1:6" x14ac:dyDescent="0.4">
      <c r="A182" s="4" t="s">
        <v>254</v>
      </c>
      <c r="B182" s="4" t="s">
        <v>647</v>
      </c>
      <c r="C182" s="4" t="s">
        <v>843</v>
      </c>
      <c r="D182" s="4" t="s">
        <v>844</v>
      </c>
      <c r="E182" s="4">
        <v>3941.64</v>
      </c>
      <c r="F182" s="5">
        <v>45172</v>
      </c>
    </row>
    <row r="183" spans="1:6" x14ac:dyDescent="0.4">
      <c r="A183" s="4" t="s">
        <v>255</v>
      </c>
      <c r="B183" s="4" t="s">
        <v>649</v>
      </c>
      <c r="C183" s="4" t="s">
        <v>847</v>
      </c>
      <c r="D183" s="4" t="s">
        <v>844</v>
      </c>
      <c r="E183" s="4">
        <v>1286.77</v>
      </c>
      <c r="F183" s="5">
        <v>45028</v>
      </c>
    </row>
    <row r="184" spans="1:6" x14ac:dyDescent="0.4">
      <c r="A184" s="4" t="s">
        <v>256</v>
      </c>
      <c r="B184" s="4" t="s">
        <v>651</v>
      </c>
      <c r="C184" s="4" t="s">
        <v>848</v>
      </c>
      <c r="D184" s="4" t="s">
        <v>844</v>
      </c>
      <c r="E184" s="4">
        <v>2761.55</v>
      </c>
      <c r="F184" s="5">
        <v>44960</v>
      </c>
    </row>
    <row r="185" spans="1:6" x14ac:dyDescent="0.4">
      <c r="A185" s="4" t="s">
        <v>257</v>
      </c>
      <c r="B185" s="4" t="s">
        <v>653</v>
      </c>
      <c r="C185" s="4" t="s">
        <v>847</v>
      </c>
      <c r="D185" s="4" t="s">
        <v>844</v>
      </c>
      <c r="E185" s="4">
        <v>2293.98</v>
      </c>
      <c r="F185" s="5">
        <v>44983</v>
      </c>
    </row>
    <row r="186" spans="1:6" x14ac:dyDescent="0.4">
      <c r="A186" s="4" t="s">
        <v>258</v>
      </c>
      <c r="B186" s="4" t="s">
        <v>655</v>
      </c>
      <c r="C186" s="4" t="s">
        <v>846</v>
      </c>
      <c r="D186" s="4" t="s">
        <v>845</v>
      </c>
      <c r="E186" s="4">
        <v>1158.68</v>
      </c>
      <c r="F186" s="5">
        <v>45006</v>
      </c>
    </row>
    <row r="187" spans="1:6" x14ac:dyDescent="0.4">
      <c r="A187" s="4" t="s">
        <v>259</v>
      </c>
      <c r="B187" s="4" t="s">
        <v>657</v>
      </c>
      <c r="C187" s="4" t="s">
        <v>843</v>
      </c>
      <c r="D187" s="4" t="s">
        <v>842</v>
      </c>
      <c r="E187" s="4">
        <v>2153.9</v>
      </c>
      <c r="F187" s="5">
        <v>45012</v>
      </c>
    </row>
    <row r="188" spans="1:6" x14ac:dyDescent="0.4">
      <c r="A188" s="4" t="s">
        <v>260</v>
      </c>
      <c r="B188" s="4" t="s">
        <v>659</v>
      </c>
      <c r="C188" s="4" t="s">
        <v>848</v>
      </c>
      <c r="D188" s="4" t="s">
        <v>845</v>
      </c>
      <c r="E188" s="4">
        <v>806.78</v>
      </c>
      <c r="F188" s="5">
        <v>44970</v>
      </c>
    </row>
    <row r="189" spans="1:6" x14ac:dyDescent="0.4">
      <c r="A189" s="4" t="s">
        <v>261</v>
      </c>
      <c r="B189" s="4" t="s">
        <v>661</v>
      </c>
      <c r="C189" s="4" t="s">
        <v>841</v>
      </c>
      <c r="D189" s="4" t="s">
        <v>844</v>
      </c>
      <c r="E189" s="4">
        <v>616.15</v>
      </c>
      <c r="F189" s="5">
        <v>45028</v>
      </c>
    </row>
    <row r="190" spans="1:6" x14ac:dyDescent="0.4">
      <c r="A190" s="4" t="s">
        <v>262</v>
      </c>
      <c r="B190" s="4" t="s">
        <v>663</v>
      </c>
      <c r="C190" s="4" t="s">
        <v>848</v>
      </c>
      <c r="D190" s="4" t="s">
        <v>844</v>
      </c>
      <c r="E190" s="4">
        <v>1108.25</v>
      </c>
      <c r="F190" s="5">
        <v>45204</v>
      </c>
    </row>
    <row r="191" spans="1:6" x14ac:dyDescent="0.4">
      <c r="A191" s="4" t="s">
        <v>263</v>
      </c>
      <c r="B191" s="4" t="s">
        <v>665</v>
      </c>
      <c r="C191" s="4" t="s">
        <v>841</v>
      </c>
      <c r="D191" s="4" t="s">
        <v>844</v>
      </c>
      <c r="E191" s="4">
        <v>4834.0200000000004</v>
      </c>
      <c r="F191" s="5">
        <v>45246</v>
      </c>
    </row>
    <row r="192" spans="1:6" x14ac:dyDescent="0.4">
      <c r="A192" s="4" t="s">
        <v>264</v>
      </c>
      <c r="B192" s="4" t="s">
        <v>667</v>
      </c>
      <c r="C192" s="4" t="s">
        <v>848</v>
      </c>
      <c r="D192" s="4" t="s">
        <v>845</v>
      </c>
      <c r="E192" s="4">
        <v>2972.88</v>
      </c>
      <c r="F192" s="5">
        <v>45028</v>
      </c>
    </row>
    <row r="193" spans="1:6" x14ac:dyDescent="0.4">
      <c r="A193" s="4" t="s">
        <v>265</v>
      </c>
      <c r="B193" s="4" t="s">
        <v>669</v>
      </c>
      <c r="C193" s="4" t="s">
        <v>847</v>
      </c>
      <c r="D193" s="4" t="s">
        <v>845</v>
      </c>
      <c r="E193" s="4">
        <v>4846.2</v>
      </c>
      <c r="F193" s="5">
        <v>45169</v>
      </c>
    </row>
    <row r="194" spans="1:6" x14ac:dyDescent="0.4">
      <c r="A194" s="4" t="s">
        <v>266</v>
      </c>
      <c r="B194" s="4" t="s">
        <v>671</v>
      </c>
      <c r="C194" s="4" t="s">
        <v>847</v>
      </c>
      <c r="D194" s="4" t="s">
        <v>844</v>
      </c>
      <c r="E194" s="4">
        <v>2446.2399999999998</v>
      </c>
      <c r="F194" s="5">
        <v>45184</v>
      </c>
    </row>
    <row r="195" spans="1:6" x14ac:dyDescent="0.4">
      <c r="A195" s="4" t="s">
        <v>267</v>
      </c>
      <c r="B195" s="4" t="s">
        <v>673</v>
      </c>
      <c r="C195" s="4" t="s">
        <v>847</v>
      </c>
      <c r="D195" s="4" t="s">
        <v>845</v>
      </c>
      <c r="E195" s="4">
        <v>1903.17</v>
      </c>
      <c r="F195" s="5">
        <v>45022</v>
      </c>
    </row>
    <row r="196" spans="1:6" x14ac:dyDescent="0.4">
      <c r="A196" s="4" t="s">
        <v>268</v>
      </c>
      <c r="B196" s="4" t="s">
        <v>675</v>
      </c>
      <c r="C196" s="4" t="s">
        <v>846</v>
      </c>
      <c r="D196" s="4" t="s">
        <v>845</v>
      </c>
      <c r="E196" s="4">
        <v>2777.64</v>
      </c>
      <c r="F196" s="5">
        <v>45157</v>
      </c>
    </row>
    <row r="197" spans="1:6" x14ac:dyDescent="0.4">
      <c r="A197" s="4" t="s">
        <v>269</v>
      </c>
      <c r="B197" s="4" t="s">
        <v>677</v>
      </c>
      <c r="C197" s="4" t="s">
        <v>841</v>
      </c>
      <c r="D197" s="4" t="s">
        <v>844</v>
      </c>
      <c r="E197" s="4">
        <v>2477.8000000000002</v>
      </c>
      <c r="F197" s="5">
        <v>45225</v>
      </c>
    </row>
    <row r="198" spans="1:6" x14ac:dyDescent="0.4">
      <c r="A198" s="4" t="s">
        <v>270</v>
      </c>
      <c r="B198" s="4" t="s">
        <v>679</v>
      </c>
      <c r="C198" s="4" t="s">
        <v>847</v>
      </c>
      <c r="D198" s="4" t="s">
        <v>845</v>
      </c>
      <c r="E198" s="4">
        <v>975.49</v>
      </c>
      <c r="F198" s="5">
        <v>45017</v>
      </c>
    </row>
    <row r="199" spans="1:6" x14ac:dyDescent="0.4">
      <c r="A199" s="4" t="s">
        <v>271</v>
      </c>
      <c r="B199" s="4" t="s">
        <v>681</v>
      </c>
      <c r="C199" s="4" t="s">
        <v>846</v>
      </c>
      <c r="D199" s="4" t="s">
        <v>842</v>
      </c>
      <c r="E199" s="4">
        <v>3383.72</v>
      </c>
      <c r="F199" s="5">
        <v>45061</v>
      </c>
    </row>
    <row r="200" spans="1:6" x14ac:dyDescent="0.4">
      <c r="A200" s="4" t="s">
        <v>272</v>
      </c>
      <c r="B200" s="4" t="s">
        <v>683</v>
      </c>
      <c r="C200" s="4" t="s">
        <v>841</v>
      </c>
      <c r="D200" s="4" t="s">
        <v>842</v>
      </c>
      <c r="E200" s="4">
        <v>1472.17</v>
      </c>
      <c r="F200" s="5">
        <v>45047</v>
      </c>
    </row>
    <row r="201" spans="1:6" x14ac:dyDescent="0.4">
      <c r="A201" s="4" t="s">
        <v>273</v>
      </c>
      <c r="B201" s="4" t="s">
        <v>685</v>
      </c>
      <c r="C201" s="4" t="s">
        <v>848</v>
      </c>
      <c r="D201" s="4" t="s">
        <v>842</v>
      </c>
      <c r="E201" s="4">
        <v>3288.15</v>
      </c>
      <c r="F201" s="5">
        <v>45290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F642-7F1F-4D30-A6F1-9A5EC0299EA4}">
  <dimension ref="A1:G201"/>
  <sheetViews>
    <sheetView workbookViewId="0">
      <selection activeCell="K19" sqref="K19"/>
    </sheetView>
  </sheetViews>
  <sheetFormatPr defaultRowHeight="14.6" x14ac:dyDescent="0.4"/>
  <cols>
    <col min="1" max="1" width="11.61328125" bestFit="1" customWidth="1"/>
    <col min="2" max="2" width="8.07421875" bestFit="1" customWidth="1"/>
    <col min="4" max="4" width="14.07421875" bestFit="1" customWidth="1"/>
    <col min="5" max="5" width="10.3046875" bestFit="1" customWidth="1"/>
    <col min="6" max="6" width="9.61328125" bestFit="1" customWidth="1"/>
    <col min="7" max="7" width="18.07421875" bestFit="1" customWidth="1"/>
    <col min="8" max="8" width="16.53515625" bestFit="1" customWidth="1"/>
  </cols>
  <sheetData>
    <row r="1" spans="1:7" x14ac:dyDescent="0.4">
      <c r="A1" t="s">
        <v>1</v>
      </c>
      <c r="B1" t="s">
        <v>274</v>
      </c>
      <c r="C1" t="s">
        <v>275</v>
      </c>
      <c r="D1" t="s">
        <v>276</v>
      </c>
      <c r="E1" t="s">
        <v>277</v>
      </c>
      <c r="F1" t="s">
        <v>278</v>
      </c>
      <c r="G1" t="s">
        <v>279</v>
      </c>
    </row>
    <row r="2" spans="1:7" x14ac:dyDescent="0.4">
      <c r="A2" s="4" t="s">
        <v>8</v>
      </c>
      <c r="B2" s="4" t="s">
        <v>280</v>
      </c>
      <c r="C2" s="4" t="s">
        <v>281</v>
      </c>
      <c r="D2" s="5">
        <v>45147</v>
      </c>
      <c r="E2" s="4">
        <v>3941.97</v>
      </c>
      <c r="F2" s="4" t="s">
        <v>282</v>
      </c>
      <c r="G2" s="4" t="s">
        <v>283</v>
      </c>
    </row>
    <row r="3" spans="1:7" x14ac:dyDescent="0.4">
      <c r="A3" s="4" t="s">
        <v>13</v>
      </c>
      <c r="B3" s="4" t="s">
        <v>284</v>
      </c>
      <c r="C3" s="4" t="s">
        <v>285</v>
      </c>
      <c r="D3" s="5">
        <v>45086</v>
      </c>
      <c r="E3" s="4">
        <v>4158.4399999999996</v>
      </c>
      <c r="F3" s="4" t="s">
        <v>282</v>
      </c>
      <c r="G3" s="4" t="s">
        <v>286</v>
      </c>
    </row>
    <row r="4" spans="1:7" x14ac:dyDescent="0.4">
      <c r="A4" s="4" t="s">
        <v>17</v>
      </c>
      <c r="B4" s="4" t="s">
        <v>287</v>
      </c>
      <c r="C4" s="4" t="s">
        <v>288</v>
      </c>
      <c r="D4" s="5">
        <v>45105</v>
      </c>
      <c r="E4" s="4">
        <v>3731.55</v>
      </c>
      <c r="F4" s="4" t="s">
        <v>282</v>
      </c>
      <c r="G4" s="4" t="s">
        <v>286</v>
      </c>
    </row>
    <row r="5" spans="1:7" x14ac:dyDescent="0.4">
      <c r="A5" s="4" t="s">
        <v>21</v>
      </c>
      <c r="B5" s="4" t="s">
        <v>289</v>
      </c>
      <c r="C5" s="4" t="s">
        <v>290</v>
      </c>
      <c r="D5" s="5">
        <v>45170</v>
      </c>
      <c r="E5" s="4">
        <v>4799.8599999999997</v>
      </c>
      <c r="F5" s="4" t="s">
        <v>282</v>
      </c>
      <c r="G5" s="4" t="s">
        <v>291</v>
      </c>
    </row>
    <row r="6" spans="1:7" x14ac:dyDescent="0.4">
      <c r="A6" s="4" t="s">
        <v>24</v>
      </c>
      <c r="B6" s="4" t="s">
        <v>292</v>
      </c>
      <c r="C6" s="4" t="s">
        <v>293</v>
      </c>
      <c r="D6" s="5">
        <v>45113</v>
      </c>
      <c r="E6" s="4">
        <v>582.04999999999995</v>
      </c>
      <c r="F6" s="4" t="s">
        <v>294</v>
      </c>
      <c r="G6" s="4" t="s">
        <v>283</v>
      </c>
    </row>
    <row r="7" spans="1:7" x14ac:dyDescent="0.4">
      <c r="A7" s="4" t="s">
        <v>28</v>
      </c>
      <c r="B7" s="4" t="s">
        <v>295</v>
      </c>
      <c r="C7" s="4" t="s">
        <v>296</v>
      </c>
      <c r="D7" s="5">
        <v>45096</v>
      </c>
      <c r="E7" s="4">
        <v>1381</v>
      </c>
      <c r="F7" s="4" t="s">
        <v>282</v>
      </c>
      <c r="G7" s="4" t="s">
        <v>283</v>
      </c>
    </row>
    <row r="8" spans="1:7" x14ac:dyDescent="0.4">
      <c r="A8" s="4" t="s">
        <v>31</v>
      </c>
      <c r="B8" s="4" t="s">
        <v>297</v>
      </c>
      <c r="C8" s="4" t="s">
        <v>298</v>
      </c>
      <c r="D8" s="5">
        <v>45025</v>
      </c>
      <c r="E8" s="4">
        <v>534.03</v>
      </c>
      <c r="F8" s="4" t="s">
        <v>299</v>
      </c>
      <c r="G8" s="4" t="s">
        <v>291</v>
      </c>
    </row>
    <row r="9" spans="1:7" x14ac:dyDescent="0.4">
      <c r="A9" s="4" t="s">
        <v>34</v>
      </c>
      <c r="B9" s="4" t="s">
        <v>300</v>
      </c>
      <c r="C9" s="4" t="s">
        <v>301</v>
      </c>
      <c r="D9" s="5">
        <v>45070</v>
      </c>
      <c r="E9" s="4">
        <v>3413.64</v>
      </c>
      <c r="F9" s="4" t="s">
        <v>299</v>
      </c>
      <c r="G9" s="4" t="s">
        <v>291</v>
      </c>
    </row>
    <row r="10" spans="1:7" x14ac:dyDescent="0.4">
      <c r="A10" s="4" t="s">
        <v>37</v>
      </c>
      <c r="B10" s="4" t="s">
        <v>302</v>
      </c>
      <c r="C10" s="4" t="s">
        <v>303</v>
      </c>
      <c r="D10" s="5">
        <v>44990</v>
      </c>
      <c r="E10" s="4">
        <v>4541.1400000000003</v>
      </c>
      <c r="F10" s="4" t="s">
        <v>294</v>
      </c>
      <c r="G10" s="4" t="s">
        <v>286</v>
      </c>
    </row>
    <row r="11" spans="1:7" x14ac:dyDescent="0.4">
      <c r="A11" s="4" t="s">
        <v>40</v>
      </c>
      <c r="B11" s="4" t="s">
        <v>304</v>
      </c>
      <c r="C11" s="4" t="s">
        <v>305</v>
      </c>
      <c r="D11" s="5">
        <v>44939</v>
      </c>
      <c r="E11" s="4">
        <v>1595.67</v>
      </c>
      <c r="F11" s="4" t="s">
        <v>299</v>
      </c>
      <c r="G11" s="4" t="s">
        <v>286</v>
      </c>
    </row>
    <row r="12" spans="1:7" x14ac:dyDescent="0.4">
      <c r="A12" s="4" t="s">
        <v>43</v>
      </c>
      <c r="B12" s="4" t="s">
        <v>306</v>
      </c>
      <c r="C12" s="4" t="s">
        <v>307</v>
      </c>
      <c r="D12" s="5">
        <v>45242</v>
      </c>
      <c r="E12" s="4">
        <v>4671.66</v>
      </c>
      <c r="F12" s="4" t="s">
        <v>299</v>
      </c>
      <c r="G12" s="4" t="s">
        <v>291</v>
      </c>
    </row>
    <row r="13" spans="1:7" x14ac:dyDescent="0.4">
      <c r="A13" s="4" t="s">
        <v>45</v>
      </c>
      <c r="B13" s="4" t="s">
        <v>308</v>
      </c>
      <c r="C13" s="4" t="s">
        <v>309</v>
      </c>
      <c r="D13" s="5">
        <v>45053</v>
      </c>
      <c r="E13" s="4">
        <v>771.2</v>
      </c>
      <c r="F13" s="4" t="s">
        <v>282</v>
      </c>
      <c r="G13" s="4" t="s">
        <v>283</v>
      </c>
    </row>
    <row r="14" spans="1:7" x14ac:dyDescent="0.4">
      <c r="A14" s="4" t="s">
        <v>47</v>
      </c>
      <c r="B14" s="4" t="s">
        <v>310</v>
      </c>
      <c r="C14" s="4" t="s">
        <v>311</v>
      </c>
      <c r="D14" s="5">
        <v>45154</v>
      </c>
      <c r="E14" s="4">
        <v>4704.96</v>
      </c>
      <c r="F14" s="4" t="s">
        <v>299</v>
      </c>
      <c r="G14" s="4" t="s">
        <v>286</v>
      </c>
    </row>
    <row r="15" spans="1:7" x14ac:dyDescent="0.4">
      <c r="A15" s="4" t="s">
        <v>50</v>
      </c>
      <c r="B15" s="4" t="s">
        <v>312</v>
      </c>
      <c r="C15" s="4" t="s">
        <v>313</v>
      </c>
      <c r="D15" s="5">
        <v>45071</v>
      </c>
      <c r="E15" s="4">
        <v>2082.3000000000002</v>
      </c>
      <c r="F15" s="4" t="s">
        <v>294</v>
      </c>
      <c r="G15" s="4" t="s">
        <v>286</v>
      </c>
    </row>
    <row r="16" spans="1:7" x14ac:dyDescent="0.4">
      <c r="A16" s="4" t="s">
        <v>52</v>
      </c>
      <c r="B16" s="4" t="s">
        <v>314</v>
      </c>
      <c r="C16" s="4" t="s">
        <v>315</v>
      </c>
      <c r="D16" s="5">
        <v>44941</v>
      </c>
      <c r="E16" s="4">
        <v>956.39</v>
      </c>
      <c r="F16" s="4" t="s">
        <v>282</v>
      </c>
      <c r="G16" s="4" t="s">
        <v>283</v>
      </c>
    </row>
    <row r="17" spans="1:7" x14ac:dyDescent="0.4">
      <c r="A17" s="4" t="s">
        <v>34</v>
      </c>
      <c r="B17" s="4" t="s">
        <v>316</v>
      </c>
      <c r="C17" s="4" t="s">
        <v>317</v>
      </c>
      <c r="D17" s="5">
        <v>45107</v>
      </c>
      <c r="E17" s="4">
        <v>2686.42</v>
      </c>
      <c r="F17" s="4" t="s">
        <v>282</v>
      </c>
      <c r="G17" s="4" t="s">
        <v>286</v>
      </c>
    </row>
    <row r="18" spans="1:7" x14ac:dyDescent="0.4">
      <c r="A18" s="4" t="s">
        <v>56</v>
      </c>
      <c r="B18" s="4" t="s">
        <v>318</v>
      </c>
      <c r="C18" s="4" t="s">
        <v>319</v>
      </c>
      <c r="D18" s="5">
        <v>45118</v>
      </c>
      <c r="E18" s="4">
        <v>1655.49</v>
      </c>
      <c r="F18" s="4" t="s">
        <v>294</v>
      </c>
      <c r="G18" s="4" t="s">
        <v>283</v>
      </c>
    </row>
    <row r="19" spans="1:7" x14ac:dyDescent="0.4">
      <c r="A19" s="4" t="s">
        <v>43</v>
      </c>
      <c r="B19" s="4" t="s">
        <v>320</v>
      </c>
      <c r="C19" s="4" t="s">
        <v>321</v>
      </c>
      <c r="D19" s="5">
        <v>45244</v>
      </c>
      <c r="E19" s="4">
        <v>1781.93</v>
      </c>
      <c r="F19" s="4" t="s">
        <v>282</v>
      </c>
      <c r="G19" s="4" t="s">
        <v>283</v>
      </c>
    </row>
    <row r="20" spans="1:7" x14ac:dyDescent="0.4">
      <c r="A20" s="4" t="s">
        <v>45</v>
      </c>
      <c r="B20" s="4" t="s">
        <v>322</v>
      </c>
      <c r="C20" s="4" t="s">
        <v>323</v>
      </c>
      <c r="D20" s="5">
        <v>44963</v>
      </c>
      <c r="E20" s="4">
        <v>1882.8</v>
      </c>
      <c r="F20" s="4" t="s">
        <v>282</v>
      </c>
      <c r="G20" s="4" t="s">
        <v>283</v>
      </c>
    </row>
    <row r="21" spans="1:7" x14ac:dyDescent="0.4">
      <c r="A21" s="4" t="s">
        <v>61</v>
      </c>
      <c r="B21" s="4" t="s">
        <v>324</v>
      </c>
      <c r="C21" s="4" t="s">
        <v>325</v>
      </c>
      <c r="D21" s="5">
        <v>45265</v>
      </c>
      <c r="E21" s="4">
        <v>4113.62</v>
      </c>
      <c r="F21" s="4" t="s">
        <v>294</v>
      </c>
      <c r="G21" s="4" t="s">
        <v>291</v>
      </c>
    </row>
    <row r="22" spans="1:7" x14ac:dyDescent="0.4">
      <c r="A22" s="4" t="s">
        <v>63</v>
      </c>
      <c r="B22" s="4" t="s">
        <v>326</v>
      </c>
      <c r="C22" s="4" t="s">
        <v>327</v>
      </c>
      <c r="D22" s="5">
        <v>45040</v>
      </c>
      <c r="E22" s="4">
        <v>2926.23</v>
      </c>
      <c r="F22" s="4" t="s">
        <v>282</v>
      </c>
      <c r="G22" s="4" t="s">
        <v>291</v>
      </c>
    </row>
    <row r="23" spans="1:7" x14ac:dyDescent="0.4">
      <c r="A23" s="4" t="s">
        <v>40</v>
      </c>
      <c r="B23" s="4" t="s">
        <v>328</v>
      </c>
      <c r="C23" s="4" t="s">
        <v>329</v>
      </c>
      <c r="D23" s="5">
        <v>45244</v>
      </c>
      <c r="E23" s="4">
        <v>1900.88</v>
      </c>
      <c r="F23" s="4" t="s">
        <v>294</v>
      </c>
      <c r="G23" s="4" t="s">
        <v>291</v>
      </c>
    </row>
    <row r="24" spans="1:7" x14ac:dyDescent="0.4">
      <c r="A24" s="4" t="s">
        <v>66</v>
      </c>
      <c r="B24" s="4" t="s">
        <v>330</v>
      </c>
      <c r="C24" s="4" t="s">
        <v>331</v>
      </c>
      <c r="D24" s="5">
        <v>45055</v>
      </c>
      <c r="E24" s="4">
        <v>3246.5</v>
      </c>
      <c r="F24" s="4" t="s">
        <v>294</v>
      </c>
      <c r="G24" s="4" t="s">
        <v>283</v>
      </c>
    </row>
    <row r="25" spans="1:7" x14ac:dyDescent="0.4">
      <c r="A25" s="4" t="s">
        <v>68</v>
      </c>
      <c r="B25" s="4" t="s">
        <v>332</v>
      </c>
      <c r="C25" s="4" t="s">
        <v>333</v>
      </c>
      <c r="D25" s="5">
        <v>45098</v>
      </c>
      <c r="E25" s="4">
        <v>3722.68</v>
      </c>
      <c r="F25" s="4" t="s">
        <v>299</v>
      </c>
      <c r="G25" s="4" t="s">
        <v>283</v>
      </c>
    </row>
    <row r="26" spans="1:7" x14ac:dyDescent="0.4">
      <c r="A26" s="4" t="s">
        <v>70</v>
      </c>
      <c r="B26" s="4" t="s">
        <v>334</v>
      </c>
      <c r="C26" s="4" t="s">
        <v>335</v>
      </c>
      <c r="D26" s="5">
        <v>44982</v>
      </c>
      <c r="E26" s="4">
        <v>1726.81</v>
      </c>
      <c r="F26" s="4" t="s">
        <v>299</v>
      </c>
      <c r="G26" s="4" t="s">
        <v>291</v>
      </c>
    </row>
    <row r="27" spans="1:7" x14ac:dyDescent="0.4">
      <c r="A27" s="4" t="s">
        <v>72</v>
      </c>
      <c r="B27" s="4" t="s">
        <v>336</v>
      </c>
      <c r="C27" s="4" t="s">
        <v>337</v>
      </c>
      <c r="D27" s="5">
        <v>45002</v>
      </c>
      <c r="E27" s="4">
        <v>2360.9699999999998</v>
      </c>
      <c r="F27" s="4" t="s">
        <v>282</v>
      </c>
      <c r="G27" s="4" t="s">
        <v>286</v>
      </c>
    </row>
    <row r="28" spans="1:7" x14ac:dyDescent="0.4">
      <c r="A28" s="4" t="s">
        <v>40</v>
      </c>
      <c r="B28" s="4" t="s">
        <v>338</v>
      </c>
      <c r="C28" s="4" t="s">
        <v>339</v>
      </c>
      <c r="D28" s="5">
        <v>45244</v>
      </c>
      <c r="E28" s="4">
        <v>1048.49</v>
      </c>
      <c r="F28" s="4" t="s">
        <v>282</v>
      </c>
      <c r="G28" s="4" t="s">
        <v>283</v>
      </c>
    </row>
    <row r="29" spans="1:7" x14ac:dyDescent="0.4">
      <c r="A29" s="4" t="s">
        <v>50</v>
      </c>
      <c r="B29" s="4" t="s">
        <v>340</v>
      </c>
      <c r="C29" s="4" t="s">
        <v>341</v>
      </c>
      <c r="D29" s="5">
        <v>45228</v>
      </c>
      <c r="E29" s="4">
        <v>1315.17</v>
      </c>
      <c r="F29" s="4" t="s">
        <v>294</v>
      </c>
      <c r="G29" s="4" t="s">
        <v>286</v>
      </c>
    </row>
    <row r="30" spans="1:7" x14ac:dyDescent="0.4">
      <c r="A30" s="4" t="s">
        <v>34</v>
      </c>
      <c r="B30" s="4" t="s">
        <v>342</v>
      </c>
      <c r="C30" s="4" t="s">
        <v>343</v>
      </c>
      <c r="D30" s="5">
        <v>45102</v>
      </c>
      <c r="E30" s="4">
        <v>3565.03</v>
      </c>
      <c r="F30" s="4" t="s">
        <v>282</v>
      </c>
      <c r="G30" s="4" t="s">
        <v>286</v>
      </c>
    </row>
    <row r="31" spans="1:7" x14ac:dyDescent="0.4">
      <c r="A31" s="4" t="s">
        <v>52</v>
      </c>
      <c r="B31" s="4" t="s">
        <v>344</v>
      </c>
      <c r="C31" s="4" t="s">
        <v>345</v>
      </c>
      <c r="D31" s="5">
        <v>45167</v>
      </c>
      <c r="E31" s="4">
        <v>1316.47</v>
      </c>
      <c r="F31" s="4" t="s">
        <v>294</v>
      </c>
      <c r="G31" s="4" t="s">
        <v>283</v>
      </c>
    </row>
    <row r="32" spans="1:7" x14ac:dyDescent="0.4">
      <c r="A32" s="4" t="s">
        <v>52</v>
      </c>
      <c r="B32" s="4" t="s">
        <v>346</v>
      </c>
      <c r="C32" s="4" t="s">
        <v>347</v>
      </c>
      <c r="D32" s="5">
        <v>45020</v>
      </c>
      <c r="E32" s="4">
        <v>2863.24</v>
      </c>
      <c r="F32" s="4" t="s">
        <v>294</v>
      </c>
      <c r="G32" s="4" t="s">
        <v>283</v>
      </c>
    </row>
    <row r="33" spans="1:7" x14ac:dyDescent="0.4">
      <c r="A33" s="4" t="s">
        <v>17</v>
      </c>
      <c r="B33" s="4" t="s">
        <v>348</v>
      </c>
      <c r="C33" s="4" t="s">
        <v>349</v>
      </c>
      <c r="D33" s="5">
        <v>45236</v>
      </c>
      <c r="E33" s="4">
        <v>3690.71</v>
      </c>
      <c r="F33" s="4" t="s">
        <v>282</v>
      </c>
      <c r="G33" s="4" t="s">
        <v>286</v>
      </c>
    </row>
    <row r="34" spans="1:7" x14ac:dyDescent="0.4">
      <c r="A34" s="4" t="s">
        <v>81</v>
      </c>
      <c r="B34" s="4" t="s">
        <v>350</v>
      </c>
      <c r="C34" s="4" t="s">
        <v>351</v>
      </c>
      <c r="D34" s="5">
        <v>45192</v>
      </c>
      <c r="E34" s="4">
        <v>980.95</v>
      </c>
      <c r="F34" s="4" t="s">
        <v>294</v>
      </c>
      <c r="G34" s="4" t="s">
        <v>286</v>
      </c>
    </row>
    <row r="35" spans="1:7" x14ac:dyDescent="0.4">
      <c r="A35" s="4" t="s">
        <v>37</v>
      </c>
      <c r="B35" s="4" t="s">
        <v>352</v>
      </c>
      <c r="C35" s="4" t="s">
        <v>353</v>
      </c>
      <c r="D35" s="5">
        <v>45090</v>
      </c>
      <c r="E35" s="4">
        <v>3052.9</v>
      </c>
      <c r="F35" s="4" t="s">
        <v>299</v>
      </c>
      <c r="G35" s="4" t="s">
        <v>291</v>
      </c>
    </row>
    <row r="36" spans="1:7" x14ac:dyDescent="0.4">
      <c r="A36" s="4" t="s">
        <v>84</v>
      </c>
      <c r="B36" s="4" t="s">
        <v>354</v>
      </c>
      <c r="C36" s="4" t="s">
        <v>355</v>
      </c>
      <c r="D36" s="5">
        <v>45034</v>
      </c>
      <c r="E36" s="4">
        <v>1654.53</v>
      </c>
      <c r="F36" s="4" t="s">
        <v>282</v>
      </c>
      <c r="G36" s="4" t="s">
        <v>291</v>
      </c>
    </row>
    <row r="37" spans="1:7" x14ac:dyDescent="0.4">
      <c r="A37" s="4" t="s">
        <v>86</v>
      </c>
      <c r="B37" s="4" t="s">
        <v>356</v>
      </c>
      <c r="C37" s="4" t="s">
        <v>357</v>
      </c>
      <c r="D37" s="5">
        <v>44934</v>
      </c>
      <c r="E37" s="4">
        <v>4833.17</v>
      </c>
      <c r="F37" s="4" t="s">
        <v>299</v>
      </c>
      <c r="G37" s="4" t="s">
        <v>283</v>
      </c>
    </row>
    <row r="38" spans="1:7" x14ac:dyDescent="0.4">
      <c r="A38" s="4" t="s">
        <v>70</v>
      </c>
      <c r="B38" s="4" t="s">
        <v>358</v>
      </c>
      <c r="C38" s="4" t="s">
        <v>359</v>
      </c>
      <c r="D38" s="5">
        <v>45013</v>
      </c>
      <c r="E38" s="4">
        <v>2675.96</v>
      </c>
      <c r="F38" s="4" t="s">
        <v>282</v>
      </c>
      <c r="G38" s="4" t="s">
        <v>291</v>
      </c>
    </row>
    <row r="39" spans="1:7" x14ac:dyDescent="0.4">
      <c r="A39" s="4" t="s">
        <v>56</v>
      </c>
      <c r="B39" s="4" t="s">
        <v>360</v>
      </c>
      <c r="C39" s="4" t="s">
        <v>361</v>
      </c>
      <c r="D39" s="5">
        <v>44980</v>
      </c>
      <c r="E39" s="4">
        <v>4126.97</v>
      </c>
      <c r="F39" s="4" t="s">
        <v>294</v>
      </c>
      <c r="G39" s="4" t="s">
        <v>291</v>
      </c>
    </row>
    <row r="40" spans="1:7" x14ac:dyDescent="0.4">
      <c r="A40" s="4" t="s">
        <v>90</v>
      </c>
      <c r="B40" s="4" t="s">
        <v>362</v>
      </c>
      <c r="C40" s="4" t="s">
        <v>363</v>
      </c>
      <c r="D40" s="5">
        <v>45033</v>
      </c>
      <c r="E40" s="4">
        <v>2976.02</v>
      </c>
      <c r="F40" s="4" t="s">
        <v>282</v>
      </c>
      <c r="G40" s="4" t="s">
        <v>291</v>
      </c>
    </row>
    <row r="41" spans="1:7" x14ac:dyDescent="0.4">
      <c r="A41" s="4" t="s">
        <v>92</v>
      </c>
      <c r="B41" s="4" t="s">
        <v>364</v>
      </c>
      <c r="C41" s="4" t="s">
        <v>365</v>
      </c>
      <c r="D41" s="5">
        <v>45012</v>
      </c>
      <c r="E41" s="4">
        <v>695.36</v>
      </c>
      <c r="F41" s="4" t="s">
        <v>299</v>
      </c>
      <c r="G41" s="4" t="s">
        <v>291</v>
      </c>
    </row>
    <row r="42" spans="1:7" x14ac:dyDescent="0.4">
      <c r="A42" s="4" t="s">
        <v>40</v>
      </c>
      <c r="B42" s="4" t="s">
        <v>366</v>
      </c>
      <c r="C42" s="4" t="s">
        <v>367</v>
      </c>
      <c r="D42" s="5">
        <v>44927</v>
      </c>
      <c r="E42" s="4">
        <v>3349.18</v>
      </c>
      <c r="F42" s="4" t="s">
        <v>294</v>
      </c>
      <c r="G42" s="4" t="s">
        <v>286</v>
      </c>
    </row>
    <row r="43" spans="1:7" x14ac:dyDescent="0.4">
      <c r="A43" s="4" t="s">
        <v>84</v>
      </c>
      <c r="B43" s="4" t="s">
        <v>368</v>
      </c>
      <c r="C43" s="4" t="s">
        <v>369</v>
      </c>
      <c r="D43" s="5">
        <v>45006</v>
      </c>
      <c r="E43" s="4">
        <v>4781.32</v>
      </c>
      <c r="F43" s="4" t="s">
        <v>282</v>
      </c>
      <c r="G43" s="4" t="s">
        <v>283</v>
      </c>
    </row>
    <row r="44" spans="1:7" x14ac:dyDescent="0.4">
      <c r="A44" s="4" t="s">
        <v>8</v>
      </c>
      <c r="B44" s="4" t="s">
        <v>370</v>
      </c>
      <c r="C44" s="4" t="s">
        <v>371</v>
      </c>
      <c r="D44" s="5">
        <v>45014</v>
      </c>
      <c r="E44" s="4">
        <v>3207.25</v>
      </c>
      <c r="F44" s="4" t="s">
        <v>282</v>
      </c>
      <c r="G44" s="4" t="s">
        <v>291</v>
      </c>
    </row>
    <row r="45" spans="1:7" x14ac:dyDescent="0.4">
      <c r="A45" s="4" t="s">
        <v>97</v>
      </c>
      <c r="B45" s="4" t="s">
        <v>372</v>
      </c>
      <c r="C45" s="4" t="s">
        <v>373</v>
      </c>
      <c r="D45" s="5">
        <v>45189</v>
      </c>
      <c r="E45" s="4">
        <v>4186.3500000000004</v>
      </c>
      <c r="F45" s="4" t="s">
        <v>282</v>
      </c>
      <c r="G45" s="4" t="s">
        <v>286</v>
      </c>
    </row>
    <row r="46" spans="1:7" x14ac:dyDescent="0.4">
      <c r="A46" s="4" t="s">
        <v>92</v>
      </c>
      <c r="B46" s="4" t="s">
        <v>374</v>
      </c>
      <c r="C46" s="4" t="s">
        <v>375</v>
      </c>
      <c r="D46" s="5">
        <v>45197</v>
      </c>
      <c r="E46" s="4">
        <v>4478.93</v>
      </c>
      <c r="F46" s="4" t="s">
        <v>299</v>
      </c>
      <c r="G46" s="4" t="s">
        <v>286</v>
      </c>
    </row>
    <row r="47" spans="1:7" x14ac:dyDescent="0.4">
      <c r="A47" s="4" t="s">
        <v>100</v>
      </c>
      <c r="B47" s="4" t="s">
        <v>376</v>
      </c>
      <c r="C47" s="4" t="s">
        <v>377</v>
      </c>
      <c r="D47" s="5">
        <v>45280</v>
      </c>
      <c r="E47" s="4">
        <v>1526.36</v>
      </c>
      <c r="F47" s="4" t="s">
        <v>299</v>
      </c>
      <c r="G47" s="4" t="s">
        <v>286</v>
      </c>
    </row>
    <row r="48" spans="1:7" x14ac:dyDescent="0.4">
      <c r="A48" s="4" t="s">
        <v>13</v>
      </c>
      <c r="B48" s="4" t="s">
        <v>378</v>
      </c>
      <c r="C48" s="4" t="s">
        <v>379</v>
      </c>
      <c r="D48" s="5">
        <v>45048</v>
      </c>
      <c r="E48" s="4">
        <v>1454.2</v>
      </c>
      <c r="F48" s="4" t="s">
        <v>282</v>
      </c>
      <c r="G48" s="4" t="s">
        <v>291</v>
      </c>
    </row>
    <row r="49" spans="1:7" x14ac:dyDescent="0.4">
      <c r="A49" s="4" t="s">
        <v>31</v>
      </c>
      <c r="B49" s="4" t="s">
        <v>380</v>
      </c>
      <c r="C49" s="4" t="s">
        <v>381</v>
      </c>
      <c r="D49" s="5">
        <v>44942</v>
      </c>
      <c r="E49" s="4">
        <v>3249.41</v>
      </c>
      <c r="F49" s="4" t="s">
        <v>294</v>
      </c>
      <c r="G49" s="4" t="s">
        <v>291</v>
      </c>
    </row>
    <row r="50" spans="1:7" x14ac:dyDescent="0.4">
      <c r="A50" s="4" t="s">
        <v>40</v>
      </c>
      <c r="B50" s="4" t="s">
        <v>382</v>
      </c>
      <c r="C50" s="4" t="s">
        <v>383</v>
      </c>
      <c r="D50" s="5">
        <v>45046</v>
      </c>
      <c r="E50" s="4">
        <v>2349.63</v>
      </c>
      <c r="F50" s="4" t="s">
        <v>294</v>
      </c>
      <c r="G50" s="4" t="s">
        <v>283</v>
      </c>
    </row>
    <row r="51" spans="1:7" x14ac:dyDescent="0.4">
      <c r="A51" s="4" t="s">
        <v>28</v>
      </c>
      <c r="B51" s="4" t="s">
        <v>384</v>
      </c>
      <c r="C51" s="4" t="s">
        <v>385</v>
      </c>
      <c r="D51" s="5">
        <v>45154</v>
      </c>
      <c r="E51" s="4">
        <v>4279.38</v>
      </c>
      <c r="F51" s="4" t="s">
        <v>299</v>
      </c>
      <c r="G51" s="4" t="s">
        <v>291</v>
      </c>
    </row>
    <row r="52" spans="1:7" x14ac:dyDescent="0.4">
      <c r="A52" s="4" t="s">
        <v>106</v>
      </c>
      <c r="B52" s="4" t="s">
        <v>386</v>
      </c>
      <c r="C52" s="4" t="s">
        <v>387</v>
      </c>
      <c r="D52" s="5">
        <v>44961</v>
      </c>
      <c r="E52" s="4">
        <v>4550.1000000000004</v>
      </c>
      <c r="F52" s="4" t="s">
        <v>294</v>
      </c>
      <c r="G52" s="4" t="s">
        <v>291</v>
      </c>
    </row>
    <row r="53" spans="1:7" x14ac:dyDescent="0.4">
      <c r="A53" s="4" t="s">
        <v>34</v>
      </c>
      <c r="B53" s="4" t="s">
        <v>388</v>
      </c>
      <c r="C53" s="4" t="s">
        <v>389</v>
      </c>
      <c r="D53" s="5">
        <v>45119</v>
      </c>
      <c r="E53" s="4">
        <v>2090.4</v>
      </c>
      <c r="F53" s="4" t="s">
        <v>299</v>
      </c>
      <c r="G53" s="4" t="s">
        <v>286</v>
      </c>
    </row>
    <row r="54" spans="1:7" x14ac:dyDescent="0.4">
      <c r="A54" s="4" t="s">
        <v>109</v>
      </c>
      <c r="B54" s="4" t="s">
        <v>390</v>
      </c>
      <c r="C54" s="4" t="s">
        <v>391</v>
      </c>
      <c r="D54" s="5">
        <v>44969</v>
      </c>
      <c r="E54" s="4">
        <v>1565.92</v>
      </c>
      <c r="F54" s="4" t="s">
        <v>282</v>
      </c>
      <c r="G54" s="4" t="s">
        <v>283</v>
      </c>
    </row>
    <row r="55" spans="1:7" x14ac:dyDescent="0.4">
      <c r="A55" s="4" t="s">
        <v>34</v>
      </c>
      <c r="B55" s="4" t="s">
        <v>392</v>
      </c>
      <c r="C55" s="4" t="s">
        <v>393</v>
      </c>
      <c r="D55" s="5">
        <v>45276</v>
      </c>
      <c r="E55" s="4">
        <v>4012.36</v>
      </c>
      <c r="F55" s="4" t="s">
        <v>299</v>
      </c>
      <c r="G55" s="4" t="s">
        <v>291</v>
      </c>
    </row>
    <row r="56" spans="1:7" x14ac:dyDescent="0.4">
      <c r="A56" s="4" t="s">
        <v>112</v>
      </c>
      <c r="B56" s="4" t="s">
        <v>394</v>
      </c>
      <c r="C56" s="4" t="s">
        <v>395</v>
      </c>
      <c r="D56" s="5">
        <v>45205</v>
      </c>
      <c r="E56" s="4">
        <v>1736.63</v>
      </c>
      <c r="F56" s="4" t="s">
        <v>299</v>
      </c>
      <c r="G56" s="4" t="s">
        <v>291</v>
      </c>
    </row>
    <row r="57" spans="1:7" x14ac:dyDescent="0.4">
      <c r="A57" s="4" t="s">
        <v>68</v>
      </c>
      <c r="B57" s="4" t="s">
        <v>396</v>
      </c>
      <c r="C57" s="4" t="s">
        <v>397</v>
      </c>
      <c r="D57" s="5">
        <v>44928</v>
      </c>
      <c r="E57" s="4">
        <v>4201.76</v>
      </c>
      <c r="F57" s="4" t="s">
        <v>282</v>
      </c>
      <c r="G57" s="4" t="s">
        <v>286</v>
      </c>
    </row>
    <row r="58" spans="1:7" x14ac:dyDescent="0.4">
      <c r="A58" s="4" t="s">
        <v>63</v>
      </c>
      <c r="B58" s="4" t="s">
        <v>398</v>
      </c>
      <c r="C58" s="4" t="s">
        <v>399</v>
      </c>
      <c r="D58" s="5">
        <v>45031</v>
      </c>
      <c r="E58" s="4">
        <v>2406.8200000000002</v>
      </c>
      <c r="F58" s="4" t="s">
        <v>294</v>
      </c>
      <c r="G58" s="4" t="s">
        <v>286</v>
      </c>
    </row>
    <row r="59" spans="1:7" x14ac:dyDescent="0.4">
      <c r="A59" s="4" t="s">
        <v>13</v>
      </c>
      <c r="B59" s="4" t="s">
        <v>400</v>
      </c>
      <c r="C59" s="4" t="s">
        <v>401</v>
      </c>
      <c r="D59" s="5">
        <v>45055</v>
      </c>
      <c r="E59" s="4">
        <v>3503.97</v>
      </c>
      <c r="F59" s="4" t="s">
        <v>299</v>
      </c>
      <c r="G59" s="4" t="s">
        <v>291</v>
      </c>
    </row>
    <row r="60" spans="1:7" x14ac:dyDescent="0.4">
      <c r="A60" s="4" t="s">
        <v>117</v>
      </c>
      <c r="B60" s="4" t="s">
        <v>402</v>
      </c>
      <c r="C60" s="4" t="s">
        <v>403</v>
      </c>
      <c r="D60" s="5">
        <v>44994</v>
      </c>
      <c r="E60" s="4">
        <v>929.91</v>
      </c>
      <c r="F60" s="4" t="s">
        <v>299</v>
      </c>
      <c r="G60" s="4" t="s">
        <v>283</v>
      </c>
    </row>
    <row r="61" spans="1:7" x14ac:dyDescent="0.4">
      <c r="A61" s="4" t="s">
        <v>119</v>
      </c>
      <c r="B61" s="4" t="s">
        <v>404</v>
      </c>
      <c r="C61" s="4" t="s">
        <v>405</v>
      </c>
      <c r="D61" s="5">
        <v>45252</v>
      </c>
      <c r="E61" s="4">
        <v>3307.37</v>
      </c>
      <c r="F61" s="4" t="s">
        <v>282</v>
      </c>
      <c r="G61" s="4" t="s">
        <v>283</v>
      </c>
    </row>
    <row r="62" spans="1:7" x14ac:dyDescent="0.4">
      <c r="A62" s="4" t="s">
        <v>109</v>
      </c>
      <c r="B62" s="4" t="s">
        <v>406</v>
      </c>
      <c r="C62" s="4" t="s">
        <v>407</v>
      </c>
      <c r="D62" s="5">
        <v>44941</v>
      </c>
      <c r="E62" s="4">
        <v>2532.9499999999998</v>
      </c>
      <c r="F62" s="4" t="s">
        <v>294</v>
      </c>
      <c r="G62" s="4" t="s">
        <v>286</v>
      </c>
    </row>
    <row r="63" spans="1:7" x14ac:dyDescent="0.4">
      <c r="A63" s="4" t="s">
        <v>50</v>
      </c>
      <c r="B63" s="4" t="s">
        <v>408</v>
      </c>
      <c r="C63" s="4" t="s">
        <v>409</v>
      </c>
      <c r="D63" s="5">
        <v>45091</v>
      </c>
      <c r="E63" s="4">
        <v>3139.74</v>
      </c>
      <c r="F63" s="4" t="s">
        <v>299</v>
      </c>
      <c r="G63" s="4" t="s">
        <v>286</v>
      </c>
    </row>
    <row r="64" spans="1:7" x14ac:dyDescent="0.4">
      <c r="A64" s="4" t="s">
        <v>123</v>
      </c>
      <c r="B64" s="4" t="s">
        <v>410</v>
      </c>
      <c r="C64" s="4" t="s">
        <v>411</v>
      </c>
      <c r="D64" s="5">
        <v>45106</v>
      </c>
      <c r="E64" s="4">
        <v>1256.06</v>
      </c>
      <c r="F64" s="4" t="s">
        <v>282</v>
      </c>
      <c r="G64" s="4" t="s">
        <v>291</v>
      </c>
    </row>
    <row r="65" spans="1:7" x14ac:dyDescent="0.4">
      <c r="A65" s="4" t="s">
        <v>125</v>
      </c>
      <c r="B65" s="4" t="s">
        <v>412</v>
      </c>
      <c r="C65" s="4" t="s">
        <v>413</v>
      </c>
      <c r="D65" s="5">
        <v>45077</v>
      </c>
      <c r="E65" s="4">
        <v>3815.93</v>
      </c>
      <c r="F65" s="4" t="s">
        <v>299</v>
      </c>
      <c r="G65" s="4" t="s">
        <v>286</v>
      </c>
    </row>
    <row r="66" spans="1:7" x14ac:dyDescent="0.4">
      <c r="A66" s="4" t="s">
        <v>86</v>
      </c>
      <c r="B66" s="4" t="s">
        <v>414</v>
      </c>
      <c r="C66" s="4" t="s">
        <v>415</v>
      </c>
      <c r="D66" s="5">
        <v>45040</v>
      </c>
      <c r="E66" s="4">
        <v>4382.59</v>
      </c>
      <c r="F66" s="4" t="s">
        <v>282</v>
      </c>
      <c r="G66" s="4" t="s">
        <v>291</v>
      </c>
    </row>
    <row r="67" spans="1:7" x14ac:dyDescent="0.4">
      <c r="A67" s="4" t="s">
        <v>86</v>
      </c>
      <c r="B67" s="4" t="s">
        <v>416</v>
      </c>
      <c r="C67" s="4" t="s">
        <v>417</v>
      </c>
      <c r="D67" s="5">
        <v>45056</v>
      </c>
      <c r="E67" s="4">
        <v>1475.33</v>
      </c>
      <c r="F67" s="4" t="s">
        <v>294</v>
      </c>
      <c r="G67" s="4" t="s">
        <v>283</v>
      </c>
    </row>
    <row r="68" spans="1:7" x14ac:dyDescent="0.4">
      <c r="A68" s="4" t="s">
        <v>129</v>
      </c>
      <c r="B68" s="4" t="s">
        <v>418</v>
      </c>
      <c r="C68" s="4" t="s">
        <v>419</v>
      </c>
      <c r="D68" s="5">
        <v>45148</v>
      </c>
      <c r="E68" s="4">
        <v>930.72</v>
      </c>
      <c r="F68" s="4" t="s">
        <v>294</v>
      </c>
      <c r="G68" s="4" t="s">
        <v>283</v>
      </c>
    </row>
    <row r="69" spans="1:7" x14ac:dyDescent="0.4">
      <c r="A69" s="4" t="s">
        <v>56</v>
      </c>
      <c r="B69" s="4" t="s">
        <v>420</v>
      </c>
      <c r="C69" s="4" t="s">
        <v>421</v>
      </c>
      <c r="D69" s="5">
        <v>44999</v>
      </c>
      <c r="E69" s="4">
        <v>606.37</v>
      </c>
      <c r="F69" s="4" t="s">
        <v>294</v>
      </c>
      <c r="G69" s="4" t="s">
        <v>291</v>
      </c>
    </row>
    <row r="70" spans="1:7" x14ac:dyDescent="0.4">
      <c r="A70" s="4" t="s">
        <v>50</v>
      </c>
      <c r="B70" s="4" t="s">
        <v>422</v>
      </c>
      <c r="C70" s="4" t="s">
        <v>423</v>
      </c>
      <c r="D70" s="5">
        <v>45014</v>
      </c>
      <c r="E70" s="4">
        <v>3388.87</v>
      </c>
      <c r="F70" s="4" t="s">
        <v>294</v>
      </c>
      <c r="G70" s="4" t="s">
        <v>286</v>
      </c>
    </row>
    <row r="71" spans="1:7" x14ac:dyDescent="0.4">
      <c r="A71" s="4" t="s">
        <v>47</v>
      </c>
      <c r="B71" s="4" t="s">
        <v>424</v>
      </c>
      <c r="C71" s="4" t="s">
        <v>425</v>
      </c>
      <c r="D71" s="5">
        <v>45164</v>
      </c>
      <c r="E71" s="4">
        <v>3231.92</v>
      </c>
      <c r="F71" s="4" t="s">
        <v>299</v>
      </c>
      <c r="G71" s="4" t="s">
        <v>283</v>
      </c>
    </row>
    <row r="72" spans="1:7" x14ac:dyDescent="0.4">
      <c r="A72" s="4" t="s">
        <v>31</v>
      </c>
      <c r="B72" s="4" t="s">
        <v>426</v>
      </c>
      <c r="C72" s="4" t="s">
        <v>427</v>
      </c>
      <c r="D72" s="5">
        <v>44952</v>
      </c>
      <c r="E72" s="4">
        <v>2960.14</v>
      </c>
      <c r="F72" s="4" t="s">
        <v>299</v>
      </c>
      <c r="G72" s="4" t="s">
        <v>286</v>
      </c>
    </row>
    <row r="73" spans="1:7" x14ac:dyDescent="0.4">
      <c r="A73" s="4" t="s">
        <v>86</v>
      </c>
      <c r="B73" s="4" t="s">
        <v>428</v>
      </c>
      <c r="C73" s="4" t="s">
        <v>429</v>
      </c>
      <c r="D73" s="5">
        <v>45089</v>
      </c>
      <c r="E73" s="4">
        <v>1543.76</v>
      </c>
      <c r="F73" s="4" t="s">
        <v>294</v>
      </c>
      <c r="G73" s="4" t="s">
        <v>283</v>
      </c>
    </row>
    <row r="74" spans="1:7" x14ac:dyDescent="0.4">
      <c r="A74" s="4" t="s">
        <v>24</v>
      </c>
      <c r="B74" s="4" t="s">
        <v>430</v>
      </c>
      <c r="C74" s="4" t="s">
        <v>431</v>
      </c>
      <c r="D74" s="5">
        <v>45284</v>
      </c>
      <c r="E74" s="4">
        <v>2259.08</v>
      </c>
      <c r="F74" s="4" t="s">
        <v>294</v>
      </c>
      <c r="G74" s="4" t="s">
        <v>291</v>
      </c>
    </row>
    <row r="75" spans="1:7" x14ac:dyDescent="0.4">
      <c r="A75" s="4" t="s">
        <v>92</v>
      </c>
      <c r="B75" s="4" t="s">
        <v>432</v>
      </c>
      <c r="C75" s="4" t="s">
        <v>433</v>
      </c>
      <c r="D75" s="5">
        <v>45130</v>
      </c>
      <c r="E75" s="4">
        <v>3175.14</v>
      </c>
      <c r="F75" s="4" t="s">
        <v>294</v>
      </c>
      <c r="G75" s="4" t="s">
        <v>291</v>
      </c>
    </row>
    <row r="76" spans="1:7" x14ac:dyDescent="0.4">
      <c r="A76" s="4" t="s">
        <v>129</v>
      </c>
      <c r="B76" s="4" t="s">
        <v>434</v>
      </c>
      <c r="C76" s="4" t="s">
        <v>435</v>
      </c>
      <c r="D76" s="5">
        <v>45054</v>
      </c>
      <c r="E76" s="4">
        <v>2735.45</v>
      </c>
      <c r="F76" s="4" t="s">
        <v>299</v>
      </c>
      <c r="G76" s="4" t="s">
        <v>291</v>
      </c>
    </row>
    <row r="77" spans="1:7" x14ac:dyDescent="0.4">
      <c r="A77" s="4" t="s">
        <v>139</v>
      </c>
      <c r="B77" s="4" t="s">
        <v>436</v>
      </c>
      <c r="C77" s="4" t="s">
        <v>437</v>
      </c>
      <c r="D77" s="5">
        <v>45257</v>
      </c>
      <c r="E77" s="4">
        <v>4945.03</v>
      </c>
      <c r="F77" s="4" t="s">
        <v>294</v>
      </c>
      <c r="G77" s="4" t="s">
        <v>283</v>
      </c>
    </row>
    <row r="78" spans="1:7" x14ac:dyDescent="0.4">
      <c r="A78" s="4" t="s">
        <v>45</v>
      </c>
      <c r="B78" s="4" t="s">
        <v>438</v>
      </c>
      <c r="C78" s="4" t="s">
        <v>439</v>
      </c>
      <c r="D78" s="5">
        <v>45274</v>
      </c>
      <c r="E78" s="4">
        <v>1113.98</v>
      </c>
      <c r="F78" s="4" t="s">
        <v>294</v>
      </c>
      <c r="G78" s="4" t="s">
        <v>286</v>
      </c>
    </row>
    <row r="79" spans="1:7" x14ac:dyDescent="0.4">
      <c r="A79" s="4" t="s">
        <v>142</v>
      </c>
      <c r="B79" s="4" t="s">
        <v>440</v>
      </c>
      <c r="C79" s="4" t="s">
        <v>441</v>
      </c>
      <c r="D79" s="5">
        <v>45186</v>
      </c>
      <c r="E79" s="4">
        <v>3628.15</v>
      </c>
      <c r="F79" s="4" t="s">
        <v>294</v>
      </c>
      <c r="G79" s="4" t="s">
        <v>286</v>
      </c>
    </row>
    <row r="80" spans="1:7" x14ac:dyDescent="0.4">
      <c r="A80" s="4" t="s">
        <v>50</v>
      </c>
      <c r="B80" s="4" t="s">
        <v>442</v>
      </c>
      <c r="C80" s="4" t="s">
        <v>443</v>
      </c>
      <c r="D80" s="5">
        <v>45286</v>
      </c>
      <c r="E80" s="4">
        <v>2319.4299999999998</v>
      </c>
      <c r="F80" s="4" t="s">
        <v>282</v>
      </c>
      <c r="G80" s="4" t="s">
        <v>286</v>
      </c>
    </row>
    <row r="81" spans="1:7" x14ac:dyDescent="0.4">
      <c r="A81" s="4" t="s">
        <v>97</v>
      </c>
      <c r="B81" s="4" t="s">
        <v>444</v>
      </c>
      <c r="C81" s="4" t="s">
        <v>445</v>
      </c>
      <c r="D81" s="5">
        <v>45103</v>
      </c>
      <c r="E81" s="4">
        <v>2426.9</v>
      </c>
      <c r="F81" s="4" t="s">
        <v>294</v>
      </c>
      <c r="G81" s="4" t="s">
        <v>283</v>
      </c>
    </row>
    <row r="82" spans="1:7" x14ac:dyDescent="0.4">
      <c r="A82" s="4" t="s">
        <v>72</v>
      </c>
      <c r="B82" s="4" t="s">
        <v>446</v>
      </c>
      <c r="C82" s="4" t="s">
        <v>447</v>
      </c>
      <c r="D82" s="5">
        <v>44932</v>
      </c>
      <c r="E82" s="4">
        <v>3729.19</v>
      </c>
      <c r="F82" s="4" t="s">
        <v>282</v>
      </c>
      <c r="G82" s="4" t="s">
        <v>283</v>
      </c>
    </row>
    <row r="83" spans="1:7" x14ac:dyDescent="0.4">
      <c r="A83" s="4" t="s">
        <v>112</v>
      </c>
      <c r="B83" s="4" t="s">
        <v>448</v>
      </c>
      <c r="C83" s="4" t="s">
        <v>449</v>
      </c>
      <c r="D83" s="5">
        <v>44946</v>
      </c>
      <c r="E83" s="4">
        <v>3615.96</v>
      </c>
      <c r="F83" s="4" t="s">
        <v>282</v>
      </c>
      <c r="G83" s="4" t="s">
        <v>283</v>
      </c>
    </row>
    <row r="84" spans="1:7" x14ac:dyDescent="0.4">
      <c r="A84" s="4" t="s">
        <v>123</v>
      </c>
      <c r="B84" s="4" t="s">
        <v>450</v>
      </c>
      <c r="C84" s="4" t="s">
        <v>451</v>
      </c>
      <c r="D84" s="5">
        <v>45237</v>
      </c>
      <c r="E84" s="4">
        <v>4960.6499999999996</v>
      </c>
      <c r="F84" s="4" t="s">
        <v>294</v>
      </c>
      <c r="G84" s="4" t="s">
        <v>283</v>
      </c>
    </row>
    <row r="85" spans="1:7" x14ac:dyDescent="0.4">
      <c r="A85" s="4" t="s">
        <v>125</v>
      </c>
      <c r="B85" s="4" t="s">
        <v>452</v>
      </c>
      <c r="C85" s="4" t="s">
        <v>453</v>
      </c>
      <c r="D85" s="5">
        <v>45077</v>
      </c>
      <c r="E85" s="4">
        <v>1077.77</v>
      </c>
      <c r="F85" s="4" t="s">
        <v>282</v>
      </c>
      <c r="G85" s="4" t="s">
        <v>283</v>
      </c>
    </row>
    <row r="86" spans="1:7" x14ac:dyDescent="0.4">
      <c r="A86" s="4" t="s">
        <v>90</v>
      </c>
      <c r="B86" s="4" t="s">
        <v>454</v>
      </c>
      <c r="C86" s="4" t="s">
        <v>455</v>
      </c>
      <c r="D86" s="5">
        <v>44975</v>
      </c>
      <c r="E86" s="4">
        <v>968.49</v>
      </c>
      <c r="F86" s="4" t="s">
        <v>294</v>
      </c>
      <c r="G86" s="4" t="s">
        <v>286</v>
      </c>
    </row>
    <row r="87" spans="1:7" x14ac:dyDescent="0.4">
      <c r="A87" s="4" t="s">
        <v>151</v>
      </c>
      <c r="B87" s="4" t="s">
        <v>456</v>
      </c>
      <c r="C87" s="4" t="s">
        <v>457</v>
      </c>
      <c r="D87" s="5">
        <v>45228</v>
      </c>
      <c r="E87" s="4">
        <v>3759.52</v>
      </c>
      <c r="F87" s="4" t="s">
        <v>299</v>
      </c>
      <c r="G87" s="4" t="s">
        <v>283</v>
      </c>
    </row>
    <row r="88" spans="1:7" x14ac:dyDescent="0.4">
      <c r="A88" s="4" t="s">
        <v>52</v>
      </c>
      <c r="B88" s="4" t="s">
        <v>458</v>
      </c>
      <c r="C88" s="4" t="s">
        <v>459</v>
      </c>
      <c r="D88" s="5">
        <v>45218</v>
      </c>
      <c r="E88" s="4">
        <v>3102.74</v>
      </c>
      <c r="F88" s="4" t="s">
        <v>299</v>
      </c>
      <c r="G88" s="4" t="s">
        <v>283</v>
      </c>
    </row>
    <row r="89" spans="1:7" x14ac:dyDescent="0.4">
      <c r="A89" s="4" t="s">
        <v>154</v>
      </c>
      <c r="B89" s="4" t="s">
        <v>460</v>
      </c>
      <c r="C89" s="4" t="s">
        <v>461</v>
      </c>
      <c r="D89" s="5">
        <v>45048</v>
      </c>
      <c r="E89" s="4">
        <v>1733.72</v>
      </c>
      <c r="F89" s="4" t="s">
        <v>299</v>
      </c>
      <c r="G89" s="4" t="s">
        <v>286</v>
      </c>
    </row>
    <row r="90" spans="1:7" x14ac:dyDescent="0.4">
      <c r="A90" s="4" t="s">
        <v>45</v>
      </c>
      <c r="B90" s="4" t="s">
        <v>462</v>
      </c>
      <c r="C90" s="4" t="s">
        <v>463</v>
      </c>
      <c r="D90" s="5">
        <v>44971</v>
      </c>
      <c r="E90" s="4">
        <v>857.39</v>
      </c>
      <c r="F90" s="4" t="s">
        <v>299</v>
      </c>
      <c r="G90" s="4" t="s">
        <v>283</v>
      </c>
    </row>
    <row r="91" spans="1:7" x14ac:dyDescent="0.4">
      <c r="A91" s="4" t="s">
        <v>52</v>
      </c>
      <c r="B91" s="4" t="s">
        <v>464</v>
      </c>
      <c r="C91" s="4" t="s">
        <v>465</v>
      </c>
      <c r="D91" s="5">
        <v>45078</v>
      </c>
      <c r="E91" s="4">
        <v>885.46</v>
      </c>
      <c r="F91" s="4" t="s">
        <v>282</v>
      </c>
      <c r="G91" s="4" t="s">
        <v>286</v>
      </c>
    </row>
    <row r="92" spans="1:7" x14ac:dyDescent="0.4">
      <c r="A92" s="4" t="s">
        <v>92</v>
      </c>
      <c r="B92" s="4" t="s">
        <v>466</v>
      </c>
      <c r="C92" s="4" t="s">
        <v>467</v>
      </c>
      <c r="D92" s="5">
        <v>45088</v>
      </c>
      <c r="E92" s="4">
        <v>4523.8599999999997</v>
      </c>
      <c r="F92" s="4" t="s">
        <v>294</v>
      </c>
      <c r="G92" s="4" t="s">
        <v>286</v>
      </c>
    </row>
    <row r="93" spans="1:7" x14ac:dyDescent="0.4">
      <c r="A93" s="4" t="s">
        <v>52</v>
      </c>
      <c r="B93" s="4" t="s">
        <v>468</v>
      </c>
      <c r="C93" s="4" t="s">
        <v>469</v>
      </c>
      <c r="D93" s="5">
        <v>44956</v>
      </c>
      <c r="E93" s="4">
        <v>1363.4</v>
      </c>
      <c r="F93" s="4" t="s">
        <v>294</v>
      </c>
      <c r="G93" s="4" t="s">
        <v>291</v>
      </c>
    </row>
    <row r="94" spans="1:7" x14ac:dyDescent="0.4">
      <c r="A94" s="4" t="s">
        <v>8</v>
      </c>
      <c r="B94" s="4" t="s">
        <v>470</v>
      </c>
      <c r="C94" s="4" t="s">
        <v>471</v>
      </c>
      <c r="D94" s="5">
        <v>45025</v>
      </c>
      <c r="E94" s="4">
        <v>1955.17</v>
      </c>
      <c r="F94" s="4" t="s">
        <v>294</v>
      </c>
      <c r="G94" s="4" t="s">
        <v>291</v>
      </c>
    </row>
    <row r="95" spans="1:7" x14ac:dyDescent="0.4">
      <c r="A95" s="4" t="s">
        <v>161</v>
      </c>
      <c r="B95" s="4" t="s">
        <v>472</v>
      </c>
      <c r="C95" s="4" t="s">
        <v>473</v>
      </c>
      <c r="D95" s="5">
        <v>45024</v>
      </c>
      <c r="E95" s="4">
        <v>1519.95</v>
      </c>
      <c r="F95" s="4" t="s">
        <v>299</v>
      </c>
      <c r="G95" s="4" t="s">
        <v>291</v>
      </c>
    </row>
    <row r="96" spans="1:7" x14ac:dyDescent="0.4">
      <c r="A96" s="4" t="s">
        <v>163</v>
      </c>
      <c r="B96" s="4" t="s">
        <v>474</v>
      </c>
      <c r="C96" s="4" t="s">
        <v>475</v>
      </c>
      <c r="D96" s="5">
        <v>45055</v>
      </c>
      <c r="E96" s="4">
        <v>2097.48</v>
      </c>
      <c r="F96" s="4" t="s">
        <v>299</v>
      </c>
      <c r="G96" s="4" t="s">
        <v>291</v>
      </c>
    </row>
    <row r="97" spans="1:7" x14ac:dyDescent="0.4">
      <c r="A97" s="4" t="s">
        <v>106</v>
      </c>
      <c r="B97" s="4" t="s">
        <v>476</v>
      </c>
      <c r="C97" s="4" t="s">
        <v>477</v>
      </c>
      <c r="D97" s="5">
        <v>45114</v>
      </c>
      <c r="E97" s="4">
        <v>812.41</v>
      </c>
      <c r="F97" s="4" t="s">
        <v>294</v>
      </c>
      <c r="G97" s="4" t="s">
        <v>283</v>
      </c>
    </row>
    <row r="98" spans="1:7" x14ac:dyDescent="0.4">
      <c r="A98" s="4" t="s">
        <v>123</v>
      </c>
      <c r="B98" s="4" t="s">
        <v>478</v>
      </c>
      <c r="C98" s="4" t="s">
        <v>479</v>
      </c>
      <c r="D98" s="5">
        <v>45052</v>
      </c>
      <c r="E98" s="4">
        <v>2835.77</v>
      </c>
      <c r="F98" s="4" t="s">
        <v>299</v>
      </c>
      <c r="G98" s="4" t="s">
        <v>291</v>
      </c>
    </row>
    <row r="99" spans="1:7" x14ac:dyDescent="0.4">
      <c r="A99" s="4" t="s">
        <v>28</v>
      </c>
      <c r="B99" s="4" t="s">
        <v>480</v>
      </c>
      <c r="C99" s="4" t="s">
        <v>481</v>
      </c>
      <c r="D99" s="5">
        <v>45002</v>
      </c>
      <c r="E99" s="4">
        <v>804.26</v>
      </c>
      <c r="F99" s="4" t="s">
        <v>294</v>
      </c>
      <c r="G99" s="4" t="s">
        <v>286</v>
      </c>
    </row>
    <row r="100" spans="1:7" x14ac:dyDescent="0.4">
      <c r="A100" s="4" t="s">
        <v>168</v>
      </c>
      <c r="B100" s="4" t="s">
        <v>482</v>
      </c>
      <c r="C100" s="4" t="s">
        <v>483</v>
      </c>
      <c r="D100" s="5">
        <v>45111</v>
      </c>
      <c r="E100" s="4">
        <v>4101.6000000000004</v>
      </c>
      <c r="F100" s="4" t="s">
        <v>294</v>
      </c>
      <c r="G100" s="4" t="s">
        <v>283</v>
      </c>
    </row>
    <row r="101" spans="1:7" x14ac:dyDescent="0.4">
      <c r="A101" s="4" t="s">
        <v>45</v>
      </c>
      <c r="B101" s="4" t="s">
        <v>484</v>
      </c>
      <c r="C101" s="4" t="s">
        <v>485</v>
      </c>
      <c r="D101" s="5">
        <v>44987</v>
      </c>
      <c r="E101" s="4">
        <v>1551.7</v>
      </c>
      <c r="F101" s="4" t="s">
        <v>294</v>
      </c>
      <c r="G101" s="4" t="s">
        <v>291</v>
      </c>
    </row>
    <row r="102" spans="1:7" x14ac:dyDescent="0.4">
      <c r="A102" s="4" t="s">
        <v>84</v>
      </c>
      <c r="B102" s="4" t="s">
        <v>486</v>
      </c>
      <c r="C102" s="4" t="s">
        <v>487</v>
      </c>
      <c r="D102" s="5">
        <v>45190</v>
      </c>
      <c r="E102" s="4">
        <v>2930.05</v>
      </c>
      <c r="F102" s="4" t="s">
        <v>294</v>
      </c>
      <c r="G102" s="4" t="s">
        <v>286</v>
      </c>
    </row>
    <row r="103" spans="1:7" x14ac:dyDescent="0.4">
      <c r="A103" s="4" t="s">
        <v>21</v>
      </c>
      <c r="B103" s="4" t="s">
        <v>488</v>
      </c>
      <c r="C103" s="4" t="s">
        <v>489</v>
      </c>
      <c r="D103" s="5">
        <v>45224</v>
      </c>
      <c r="E103" s="4">
        <v>4460.3599999999997</v>
      </c>
      <c r="F103" s="4" t="s">
        <v>294</v>
      </c>
      <c r="G103" s="4" t="s">
        <v>283</v>
      </c>
    </row>
    <row r="104" spans="1:7" x14ac:dyDescent="0.4">
      <c r="A104" s="4" t="s">
        <v>81</v>
      </c>
      <c r="B104" s="4" t="s">
        <v>490</v>
      </c>
      <c r="C104" s="4" t="s">
        <v>491</v>
      </c>
      <c r="D104" s="5">
        <v>44950</v>
      </c>
      <c r="E104" s="4">
        <v>3428.95</v>
      </c>
      <c r="F104" s="4" t="s">
        <v>294</v>
      </c>
      <c r="G104" s="4" t="s">
        <v>283</v>
      </c>
    </row>
    <row r="105" spans="1:7" x14ac:dyDescent="0.4">
      <c r="A105" s="4" t="s">
        <v>84</v>
      </c>
      <c r="B105" s="4" t="s">
        <v>492</v>
      </c>
      <c r="C105" s="4" t="s">
        <v>493</v>
      </c>
      <c r="D105" s="5">
        <v>45034</v>
      </c>
      <c r="E105" s="4">
        <v>2898.31</v>
      </c>
      <c r="F105" s="4" t="s">
        <v>294</v>
      </c>
      <c r="G105" s="4" t="s">
        <v>291</v>
      </c>
    </row>
    <row r="106" spans="1:7" x14ac:dyDescent="0.4">
      <c r="A106" s="4" t="s">
        <v>92</v>
      </c>
      <c r="B106" s="4" t="s">
        <v>494</v>
      </c>
      <c r="C106" s="4" t="s">
        <v>495</v>
      </c>
      <c r="D106" s="5">
        <v>45152</v>
      </c>
      <c r="E106" s="4">
        <v>1959.5</v>
      </c>
      <c r="F106" s="4" t="s">
        <v>299</v>
      </c>
      <c r="G106" s="4" t="s">
        <v>283</v>
      </c>
    </row>
    <row r="107" spans="1:7" x14ac:dyDescent="0.4">
      <c r="A107" s="4" t="s">
        <v>56</v>
      </c>
      <c r="B107" s="4" t="s">
        <v>496</v>
      </c>
      <c r="C107" s="4" t="s">
        <v>497</v>
      </c>
      <c r="D107" s="5">
        <v>45228</v>
      </c>
      <c r="E107" s="4">
        <v>1998.51</v>
      </c>
      <c r="F107" s="4" t="s">
        <v>294</v>
      </c>
      <c r="G107" s="4" t="s">
        <v>286</v>
      </c>
    </row>
    <row r="108" spans="1:7" x14ac:dyDescent="0.4">
      <c r="A108" s="4" t="s">
        <v>177</v>
      </c>
      <c r="B108" s="4" t="s">
        <v>498</v>
      </c>
      <c r="C108" s="4" t="s">
        <v>499</v>
      </c>
      <c r="D108" s="5">
        <v>45033</v>
      </c>
      <c r="E108" s="4">
        <v>3512.69</v>
      </c>
      <c r="F108" s="4" t="s">
        <v>294</v>
      </c>
      <c r="G108" s="4" t="s">
        <v>283</v>
      </c>
    </row>
    <row r="109" spans="1:7" x14ac:dyDescent="0.4">
      <c r="A109" s="4" t="s">
        <v>109</v>
      </c>
      <c r="B109" s="4" t="s">
        <v>500</v>
      </c>
      <c r="C109" s="4" t="s">
        <v>501</v>
      </c>
      <c r="D109" s="5">
        <v>45037</v>
      </c>
      <c r="E109" s="4">
        <v>4973.63</v>
      </c>
      <c r="F109" s="4" t="s">
        <v>299</v>
      </c>
      <c r="G109" s="4" t="s">
        <v>286</v>
      </c>
    </row>
    <row r="110" spans="1:7" x14ac:dyDescent="0.4">
      <c r="A110" s="4" t="s">
        <v>125</v>
      </c>
      <c r="B110" s="4" t="s">
        <v>502</v>
      </c>
      <c r="C110" s="4" t="s">
        <v>503</v>
      </c>
      <c r="D110" s="5">
        <v>45136</v>
      </c>
      <c r="E110" s="4">
        <v>3478.28</v>
      </c>
      <c r="F110" s="4" t="s">
        <v>299</v>
      </c>
      <c r="G110" s="4" t="s">
        <v>283</v>
      </c>
    </row>
    <row r="111" spans="1:7" x14ac:dyDescent="0.4">
      <c r="A111" s="4" t="s">
        <v>68</v>
      </c>
      <c r="B111" s="4" t="s">
        <v>504</v>
      </c>
      <c r="C111" s="4" t="s">
        <v>505</v>
      </c>
      <c r="D111" s="5">
        <v>45126</v>
      </c>
      <c r="E111" s="4">
        <v>3010.03</v>
      </c>
      <c r="F111" s="4" t="s">
        <v>299</v>
      </c>
      <c r="G111" s="4" t="s">
        <v>291</v>
      </c>
    </row>
    <row r="112" spans="1:7" x14ac:dyDescent="0.4">
      <c r="A112" s="4" t="s">
        <v>125</v>
      </c>
      <c r="B112" s="4" t="s">
        <v>506</v>
      </c>
      <c r="C112" s="4" t="s">
        <v>507</v>
      </c>
      <c r="D112" s="5">
        <v>45068</v>
      </c>
      <c r="E112" s="4">
        <v>3787.93</v>
      </c>
      <c r="F112" s="4" t="s">
        <v>294</v>
      </c>
      <c r="G112" s="4" t="s">
        <v>286</v>
      </c>
    </row>
    <row r="113" spans="1:7" x14ac:dyDescent="0.4">
      <c r="A113" s="4" t="s">
        <v>17</v>
      </c>
      <c r="B113" s="4" t="s">
        <v>508</v>
      </c>
      <c r="C113" s="4" t="s">
        <v>509</v>
      </c>
      <c r="D113" s="5">
        <v>44937</v>
      </c>
      <c r="E113" s="4">
        <v>2593.4299999999998</v>
      </c>
      <c r="F113" s="4" t="s">
        <v>282</v>
      </c>
      <c r="G113" s="4" t="s">
        <v>283</v>
      </c>
    </row>
    <row r="114" spans="1:7" x14ac:dyDescent="0.4">
      <c r="A114" s="4" t="s">
        <v>84</v>
      </c>
      <c r="B114" s="4" t="s">
        <v>510</v>
      </c>
      <c r="C114" s="4" t="s">
        <v>511</v>
      </c>
      <c r="D114" s="5">
        <v>45254</v>
      </c>
      <c r="E114" s="4">
        <v>770.64</v>
      </c>
      <c r="F114" s="4" t="s">
        <v>282</v>
      </c>
      <c r="G114" s="4" t="s">
        <v>283</v>
      </c>
    </row>
    <row r="115" spans="1:7" x14ac:dyDescent="0.4">
      <c r="A115" s="4" t="s">
        <v>185</v>
      </c>
      <c r="B115" s="4" t="s">
        <v>512</v>
      </c>
      <c r="C115" s="4" t="s">
        <v>513</v>
      </c>
      <c r="D115" s="5">
        <v>45146</v>
      </c>
      <c r="E115" s="4">
        <v>3030.34</v>
      </c>
      <c r="F115" s="4" t="s">
        <v>299</v>
      </c>
      <c r="G115" s="4" t="s">
        <v>283</v>
      </c>
    </row>
    <row r="116" spans="1:7" x14ac:dyDescent="0.4">
      <c r="A116" s="4" t="s">
        <v>68</v>
      </c>
      <c r="B116" s="4" t="s">
        <v>514</v>
      </c>
      <c r="C116" s="4" t="s">
        <v>515</v>
      </c>
      <c r="D116" s="5">
        <v>45224</v>
      </c>
      <c r="E116" s="4">
        <v>4809.3100000000004</v>
      </c>
      <c r="F116" s="4" t="s">
        <v>282</v>
      </c>
      <c r="G116" s="4" t="s">
        <v>286</v>
      </c>
    </row>
    <row r="117" spans="1:7" x14ac:dyDescent="0.4">
      <c r="A117" s="4" t="s">
        <v>37</v>
      </c>
      <c r="B117" s="4" t="s">
        <v>516</v>
      </c>
      <c r="C117" s="4" t="s">
        <v>517</v>
      </c>
      <c r="D117" s="5">
        <v>45114</v>
      </c>
      <c r="E117" s="4">
        <v>1288.8599999999999</v>
      </c>
      <c r="F117" s="4" t="s">
        <v>299</v>
      </c>
      <c r="G117" s="4" t="s">
        <v>286</v>
      </c>
    </row>
    <row r="118" spans="1:7" x14ac:dyDescent="0.4">
      <c r="A118" s="4" t="s">
        <v>13</v>
      </c>
      <c r="B118" s="4" t="s">
        <v>518</v>
      </c>
      <c r="C118" s="4" t="s">
        <v>519</v>
      </c>
      <c r="D118" s="5">
        <v>45097</v>
      </c>
      <c r="E118" s="4">
        <v>3605.02</v>
      </c>
      <c r="F118" s="4" t="s">
        <v>294</v>
      </c>
      <c r="G118" s="4" t="s">
        <v>286</v>
      </c>
    </row>
    <row r="119" spans="1:7" x14ac:dyDescent="0.4">
      <c r="A119" s="4" t="s">
        <v>109</v>
      </c>
      <c r="B119" s="4" t="s">
        <v>520</v>
      </c>
      <c r="C119" s="4" t="s">
        <v>521</v>
      </c>
      <c r="D119" s="5">
        <v>45147</v>
      </c>
      <c r="E119" s="4">
        <v>1404.2</v>
      </c>
      <c r="F119" s="4" t="s">
        <v>282</v>
      </c>
      <c r="G119" s="4" t="s">
        <v>291</v>
      </c>
    </row>
    <row r="120" spans="1:7" x14ac:dyDescent="0.4">
      <c r="A120" s="4" t="s">
        <v>90</v>
      </c>
      <c r="B120" s="4" t="s">
        <v>522</v>
      </c>
      <c r="C120" s="4" t="s">
        <v>523</v>
      </c>
      <c r="D120" s="5">
        <v>45278</v>
      </c>
      <c r="E120" s="4">
        <v>2911.22</v>
      </c>
      <c r="F120" s="4" t="s">
        <v>294</v>
      </c>
      <c r="G120" s="4" t="s">
        <v>291</v>
      </c>
    </row>
    <row r="121" spans="1:7" x14ac:dyDescent="0.4">
      <c r="A121" s="4" t="s">
        <v>13</v>
      </c>
      <c r="B121" s="4" t="s">
        <v>524</v>
      </c>
      <c r="C121" s="4" t="s">
        <v>525</v>
      </c>
      <c r="D121" s="5">
        <v>45268</v>
      </c>
      <c r="E121" s="4">
        <v>935.04</v>
      </c>
      <c r="F121" s="4" t="s">
        <v>282</v>
      </c>
      <c r="G121" s="4" t="s">
        <v>286</v>
      </c>
    </row>
    <row r="122" spans="1:7" x14ac:dyDescent="0.4">
      <c r="A122" s="4" t="s">
        <v>56</v>
      </c>
      <c r="B122" s="4" t="s">
        <v>526</v>
      </c>
      <c r="C122" s="4" t="s">
        <v>527</v>
      </c>
      <c r="D122" s="5">
        <v>45023</v>
      </c>
      <c r="E122" s="4">
        <v>2526.67</v>
      </c>
      <c r="F122" s="4" t="s">
        <v>294</v>
      </c>
      <c r="G122" s="4" t="s">
        <v>283</v>
      </c>
    </row>
    <row r="123" spans="1:7" x14ac:dyDescent="0.4">
      <c r="A123" s="4" t="s">
        <v>50</v>
      </c>
      <c r="B123" s="4" t="s">
        <v>528</v>
      </c>
      <c r="C123" s="4" t="s">
        <v>529</v>
      </c>
      <c r="D123" s="5">
        <v>45118</v>
      </c>
      <c r="E123" s="4">
        <v>3902.73</v>
      </c>
      <c r="F123" s="4" t="s">
        <v>282</v>
      </c>
      <c r="G123" s="4" t="s">
        <v>291</v>
      </c>
    </row>
    <row r="124" spans="1:7" x14ac:dyDescent="0.4">
      <c r="A124" s="4" t="s">
        <v>68</v>
      </c>
      <c r="B124" s="4" t="s">
        <v>530</v>
      </c>
      <c r="C124" s="4" t="s">
        <v>531</v>
      </c>
      <c r="D124" s="5">
        <v>44985</v>
      </c>
      <c r="E124" s="4">
        <v>2064.0700000000002</v>
      </c>
      <c r="F124" s="4" t="s">
        <v>294</v>
      </c>
      <c r="G124" s="4" t="s">
        <v>286</v>
      </c>
    </row>
    <row r="125" spans="1:7" x14ac:dyDescent="0.4">
      <c r="A125" s="4" t="s">
        <v>142</v>
      </c>
      <c r="B125" s="4" t="s">
        <v>532</v>
      </c>
      <c r="C125" s="4" t="s">
        <v>533</v>
      </c>
      <c r="D125" s="5">
        <v>45001</v>
      </c>
      <c r="E125" s="4">
        <v>3492.1</v>
      </c>
      <c r="F125" s="4" t="s">
        <v>294</v>
      </c>
      <c r="G125" s="4" t="s">
        <v>283</v>
      </c>
    </row>
    <row r="126" spans="1:7" x14ac:dyDescent="0.4">
      <c r="A126" s="4" t="s">
        <v>90</v>
      </c>
      <c r="B126" s="4" t="s">
        <v>534</v>
      </c>
      <c r="C126" s="4" t="s">
        <v>535</v>
      </c>
      <c r="D126" s="5">
        <v>44975</v>
      </c>
      <c r="E126" s="4">
        <v>4079.52</v>
      </c>
      <c r="F126" s="4" t="s">
        <v>282</v>
      </c>
      <c r="G126" s="4" t="s">
        <v>291</v>
      </c>
    </row>
    <row r="127" spans="1:7" x14ac:dyDescent="0.4">
      <c r="A127" s="4" t="s">
        <v>21</v>
      </c>
      <c r="B127" s="4" t="s">
        <v>536</v>
      </c>
      <c r="C127" s="4" t="s">
        <v>537</v>
      </c>
      <c r="D127" s="5">
        <v>45232</v>
      </c>
      <c r="E127" s="4">
        <v>4672.3</v>
      </c>
      <c r="F127" s="4" t="s">
        <v>294</v>
      </c>
      <c r="G127" s="4" t="s">
        <v>283</v>
      </c>
    </row>
    <row r="128" spans="1:7" x14ac:dyDescent="0.4">
      <c r="A128" s="4" t="s">
        <v>125</v>
      </c>
      <c r="B128" s="4" t="s">
        <v>538</v>
      </c>
      <c r="C128" s="4" t="s">
        <v>539</v>
      </c>
      <c r="D128" s="5">
        <v>45243</v>
      </c>
      <c r="E128" s="4">
        <v>1555.89</v>
      </c>
      <c r="F128" s="4" t="s">
        <v>294</v>
      </c>
      <c r="G128" s="4" t="s">
        <v>283</v>
      </c>
    </row>
    <row r="129" spans="1:7" x14ac:dyDescent="0.4">
      <c r="A129" s="4" t="s">
        <v>161</v>
      </c>
      <c r="B129" s="4" t="s">
        <v>540</v>
      </c>
      <c r="C129" s="4" t="s">
        <v>541</v>
      </c>
      <c r="D129" s="5">
        <v>45031</v>
      </c>
      <c r="E129" s="4">
        <v>2296.92</v>
      </c>
      <c r="F129" s="4" t="s">
        <v>294</v>
      </c>
      <c r="G129" s="4" t="s">
        <v>283</v>
      </c>
    </row>
    <row r="130" spans="1:7" x14ac:dyDescent="0.4">
      <c r="A130" s="4" t="s">
        <v>70</v>
      </c>
      <c r="B130" s="4" t="s">
        <v>542</v>
      </c>
      <c r="C130" s="4" t="s">
        <v>543</v>
      </c>
      <c r="D130" s="5">
        <v>45163</v>
      </c>
      <c r="E130" s="4">
        <v>1185.8699999999999</v>
      </c>
      <c r="F130" s="4" t="s">
        <v>282</v>
      </c>
      <c r="G130" s="4" t="s">
        <v>283</v>
      </c>
    </row>
    <row r="131" spans="1:7" x14ac:dyDescent="0.4">
      <c r="A131" s="4" t="s">
        <v>151</v>
      </c>
      <c r="B131" s="4" t="s">
        <v>544</v>
      </c>
      <c r="C131" s="4" t="s">
        <v>545</v>
      </c>
      <c r="D131" s="5">
        <v>44980</v>
      </c>
      <c r="E131" s="4">
        <v>4966.18</v>
      </c>
      <c r="F131" s="4" t="s">
        <v>282</v>
      </c>
      <c r="G131" s="4" t="s">
        <v>291</v>
      </c>
    </row>
    <row r="132" spans="1:7" x14ac:dyDescent="0.4">
      <c r="A132" s="4" t="s">
        <v>68</v>
      </c>
      <c r="B132" s="4" t="s">
        <v>546</v>
      </c>
      <c r="C132" s="4" t="s">
        <v>547</v>
      </c>
      <c r="D132" s="5">
        <v>45057</v>
      </c>
      <c r="E132" s="4">
        <v>4671.5</v>
      </c>
      <c r="F132" s="4" t="s">
        <v>294</v>
      </c>
      <c r="G132" s="4" t="s">
        <v>291</v>
      </c>
    </row>
    <row r="133" spans="1:7" x14ac:dyDescent="0.4">
      <c r="A133" s="4" t="s">
        <v>119</v>
      </c>
      <c r="B133" s="4" t="s">
        <v>548</v>
      </c>
      <c r="C133" s="4" t="s">
        <v>549</v>
      </c>
      <c r="D133" s="5">
        <v>45133</v>
      </c>
      <c r="E133" s="4">
        <v>2929.81</v>
      </c>
      <c r="F133" s="4" t="s">
        <v>294</v>
      </c>
      <c r="G133" s="4" t="s">
        <v>291</v>
      </c>
    </row>
    <row r="134" spans="1:7" x14ac:dyDescent="0.4">
      <c r="A134" s="4" t="s">
        <v>17</v>
      </c>
      <c r="B134" s="4" t="s">
        <v>550</v>
      </c>
      <c r="C134" s="4" t="s">
        <v>551</v>
      </c>
      <c r="D134" s="5">
        <v>45008</v>
      </c>
      <c r="E134" s="4">
        <v>4289.1499999999996</v>
      </c>
      <c r="F134" s="4" t="s">
        <v>282</v>
      </c>
      <c r="G134" s="4" t="s">
        <v>286</v>
      </c>
    </row>
    <row r="135" spans="1:7" x14ac:dyDescent="0.4">
      <c r="A135" s="4" t="s">
        <v>21</v>
      </c>
      <c r="B135" s="4" t="s">
        <v>552</v>
      </c>
      <c r="C135" s="4" t="s">
        <v>553</v>
      </c>
      <c r="D135" s="5">
        <v>45216</v>
      </c>
      <c r="E135" s="4">
        <v>2844.31</v>
      </c>
      <c r="F135" s="4" t="s">
        <v>282</v>
      </c>
      <c r="G135" s="4" t="s">
        <v>291</v>
      </c>
    </row>
    <row r="136" spans="1:7" x14ac:dyDescent="0.4">
      <c r="A136" s="4" t="s">
        <v>43</v>
      </c>
      <c r="B136" s="4" t="s">
        <v>554</v>
      </c>
      <c r="C136" s="4" t="s">
        <v>555</v>
      </c>
      <c r="D136" s="5">
        <v>45178</v>
      </c>
      <c r="E136" s="4">
        <v>3306.14</v>
      </c>
      <c r="F136" s="4" t="s">
        <v>294</v>
      </c>
      <c r="G136" s="4" t="s">
        <v>283</v>
      </c>
    </row>
    <row r="137" spans="1:7" x14ac:dyDescent="0.4">
      <c r="A137" s="4" t="s">
        <v>142</v>
      </c>
      <c r="B137" s="4" t="s">
        <v>556</v>
      </c>
      <c r="C137" s="4" t="s">
        <v>557</v>
      </c>
      <c r="D137" s="5">
        <v>45059</v>
      </c>
      <c r="E137" s="4">
        <v>901.06</v>
      </c>
      <c r="F137" s="4" t="s">
        <v>294</v>
      </c>
      <c r="G137" s="4" t="s">
        <v>291</v>
      </c>
    </row>
    <row r="138" spans="1:7" x14ac:dyDescent="0.4">
      <c r="A138" s="4" t="s">
        <v>100</v>
      </c>
      <c r="B138" s="4" t="s">
        <v>558</v>
      </c>
      <c r="C138" s="4" t="s">
        <v>559</v>
      </c>
      <c r="D138" s="5">
        <v>45224</v>
      </c>
      <c r="E138" s="4">
        <v>3898.72</v>
      </c>
      <c r="F138" s="4" t="s">
        <v>294</v>
      </c>
      <c r="G138" s="4" t="s">
        <v>283</v>
      </c>
    </row>
    <row r="139" spans="1:7" x14ac:dyDescent="0.4">
      <c r="A139" s="4" t="s">
        <v>68</v>
      </c>
      <c r="B139" s="4" t="s">
        <v>560</v>
      </c>
      <c r="C139" s="4" t="s">
        <v>561</v>
      </c>
      <c r="D139" s="5">
        <v>45286</v>
      </c>
      <c r="E139" s="4">
        <v>1074.71</v>
      </c>
      <c r="F139" s="4" t="s">
        <v>299</v>
      </c>
      <c r="G139" s="4" t="s">
        <v>286</v>
      </c>
    </row>
    <row r="140" spans="1:7" x14ac:dyDescent="0.4">
      <c r="A140" s="4" t="s">
        <v>84</v>
      </c>
      <c r="B140" s="4" t="s">
        <v>562</v>
      </c>
      <c r="C140" s="4" t="s">
        <v>563</v>
      </c>
      <c r="D140" s="5">
        <v>45209</v>
      </c>
      <c r="E140" s="4">
        <v>4217.3</v>
      </c>
      <c r="F140" s="4" t="s">
        <v>282</v>
      </c>
      <c r="G140" s="4" t="s">
        <v>283</v>
      </c>
    </row>
    <row r="141" spans="1:7" x14ac:dyDescent="0.4">
      <c r="A141" s="4" t="s">
        <v>50</v>
      </c>
      <c r="B141" s="4" t="s">
        <v>564</v>
      </c>
      <c r="C141" s="4" t="s">
        <v>565</v>
      </c>
      <c r="D141" s="5">
        <v>44962</v>
      </c>
      <c r="E141" s="4">
        <v>4019.13</v>
      </c>
      <c r="F141" s="4" t="s">
        <v>299</v>
      </c>
      <c r="G141" s="4" t="s">
        <v>283</v>
      </c>
    </row>
    <row r="142" spans="1:7" x14ac:dyDescent="0.4">
      <c r="A142" s="4" t="s">
        <v>161</v>
      </c>
      <c r="B142" s="4" t="s">
        <v>566</v>
      </c>
      <c r="C142" s="4" t="s">
        <v>567</v>
      </c>
      <c r="D142" s="5">
        <v>45092</v>
      </c>
      <c r="E142" s="4">
        <v>3689.35</v>
      </c>
      <c r="F142" s="4" t="s">
        <v>282</v>
      </c>
      <c r="G142" s="4" t="s">
        <v>283</v>
      </c>
    </row>
    <row r="143" spans="1:7" x14ac:dyDescent="0.4">
      <c r="A143" s="4" t="s">
        <v>100</v>
      </c>
      <c r="B143" s="4" t="s">
        <v>568</v>
      </c>
      <c r="C143" s="4" t="s">
        <v>569</v>
      </c>
      <c r="D143" s="5">
        <v>45231</v>
      </c>
      <c r="E143" s="4">
        <v>662.72</v>
      </c>
      <c r="F143" s="4" t="s">
        <v>282</v>
      </c>
      <c r="G143" s="4" t="s">
        <v>286</v>
      </c>
    </row>
    <row r="144" spans="1:7" x14ac:dyDescent="0.4">
      <c r="A144" s="4" t="s">
        <v>50</v>
      </c>
      <c r="B144" s="4" t="s">
        <v>570</v>
      </c>
      <c r="C144" s="4" t="s">
        <v>571</v>
      </c>
      <c r="D144" s="5">
        <v>45190</v>
      </c>
      <c r="E144" s="4">
        <v>1864.08</v>
      </c>
      <c r="F144" s="4" t="s">
        <v>282</v>
      </c>
      <c r="G144" s="4" t="s">
        <v>291</v>
      </c>
    </row>
    <row r="145" spans="1:7" x14ac:dyDescent="0.4">
      <c r="A145" s="4" t="s">
        <v>177</v>
      </c>
      <c r="B145" s="4" t="s">
        <v>572</v>
      </c>
      <c r="C145" s="4" t="s">
        <v>573</v>
      </c>
      <c r="D145" s="5">
        <v>45154</v>
      </c>
      <c r="E145" s="4">
        <v>1684.01</v>
      </c>
      <c r="F145" s="4" t="s">
        <v>282</v>
      </c>
      <c r="G145" s="4" t="s">
        <v>291</v>
      </c>
    </row>
    <row r="146" spans="1:7" x14ac:dyDescent="0.4">
      <c r="A146" s="4" t="s">
        <v>163</v>
      </c>
      <c r="B146" s="4" t="s">
        <v>574</v>
      </c>
      <c r="C146" s="4" t="s">
        <v>575</v>
      </c>
      <c r="D146" s="5">
        <v>45241</v>
      </c>
      <c r="E146" s="4">
        <v>2120.61</v>
      </c>
      <c r="F146" s="4" t="s">
        <v>282</v>
      </c>
      <c r="G146" s="4" t="s">
        <v>286</v>
      </c>
    </row>
    <row r="147" spans="1:7" x14ac:dyDescent="0.4">
      <c r="A147" s="4" t="s">
        <v>63</v>
      </c>
      <c r="B147" s="4" t="s">
        <v>576</v>
      </c>
      <c r="C147" s="4" t="s">
        <v>577</v>
      </c>
      <c r="D147" s="5">
        <v>44931</v>
      </c>
      <c r="E147" s="4">
        <v>894.39</v>
      </c>
      <c r="F147" s="4" t="s">
        <v>282</v>
      </c>
      <c r="G147" s="4" t="s">
        <v>283</v>
      </c>
    </row>
    <row r="148" spans="1:7" x14ac:dyDescent="0.4">
      <c r="A148" s="4" t="s">
        <v>61</v>
      </c>
      <c r="B148" s="4" t="s">
        <v>578</v>
      </c>
      <c r="C148" s="4" t="s">
        <v>579</v>
      </c>
      <c r="D148" s="5">
        <v>45243</v>
      </c>
      <c r="E148" s="4">
        <v>4716.3100000000004</v>
      </c>
      <c r="F148" s="4" t="s">
        <v>282</v>
      </c>
      <c r="G148" s="4" t="s">
        <v>291</v>
      </c>
    </row>
    <row r="149" spans="1:7" x14ac:dyDescent="0.4">
      <c r="A149" s="4" t="s">
        <v>97</v>
      </c>
      <c r="B149" s="4" t="s">
        <v>580</v>
      </c>
      <c r="C149" s="4" t="s">
        <v>581</v>
      </c>
      <c r="D149" s="5">
        <v>45266</v>
      </c>
      <c r="E149" s="4">
        <v>2992.11</v>
      </c>
      <c r="F149" s="4" t="s">
        <v>299</v>
      </c>
      <c r="G149" s="4" t="s">
        <v>286</v>
      </c>
    </row>
    <row r="150" spans="1:7" x14ac:dyDescent="0.4">
      <c r="A150" s="4" t="s">
        <v>100</v>
      </c>
      <c r="B150" s="4" t="s">
        <v>582</v>
      </c>
      <c r="C150" s="4" t="s">
        <v>583</v>
      </c>
      <c r="D150" s="5">
        <v>45133</v>
      </c>
      <c r="E150" s="4">
        <v>1874.86</v>
      </c>
      <c r="F150" s="4" t="s">
        <v>294</v>
      </c>
      <c r="G150" s="4" t="s">
        <v>291</v>
      </c>
    </row>
    <row r="151" spans="1:7" x14ac:dyDescent="0.4">
      <c r="A151" s="4" t="s">
        <v>66</v>
      </c>
      <c r="B151" s="4" t="s">
        <v>584</v>
      </c>
      <c r="C151" s="4" t="s">
        <v>585</v>
      </c>
      <c r="D151" s="5">
        <v>45154</v>
      </c>
      <c r="E151" s="4">
        <v>2286.42</v>
      </c>
      <c r="F151" s="4" t="s">
        <v>294</v>
      </c>
      <c r="G151" s="4" t="s">
        <v>286</v>
      </c>
    </row>
    <row r="152" spans="1:7" x14ac:dyDescent="0.4">
      <c r="A152" s="4" t="s">
        <v>34</v>
      </c>
      <c r="B152" s="4" t="s">
        <v>586</v>
      </c>
      <c r="C152" s="4" t="s">
        <v>587</v>
      </c>
      <c r="D152" s="5">
        <v>44954</v>
      </c>
      <c r="E152" s="4">
        <v>2512.41</v>
      </c>
      <c r="F152" s="4" t="s">
        <v>299</v>
      </c>
      <c r="G152" s="4" t="s">
        <v>283</v>
      </c>
    </row>
    <row r="153" spans="1:7" x14ac:dyDescent="0.4">
      <c r="A153" s="4" t="s">
        <v>40</v>
      </c>
      <c r="B153" s="4" t="s">
        <v>588</v>
      </c>
      <c r="C153" s="4" t="s">
        <v>589</v>
      </c>
      <c r="D153" s="5">
        <v>45030</v>
      </c>
      <c r="E153" s="4">
        <v>3202.67</v>
      </c>
      <c r="F153" s="4" t="s">
        <v>299</v>
      </c>
      <c r="G153" s="4" t="s">
        <v>291</v>
      </c>
    </row>
    <row r="154" spans="1:7" x14ac:dyDescent="0.4">
      <c r="A154" s="4" t="s">
        <v>125</v>
      </c>
      <c r="B154" s="4" t="s">
        <v>590</v>
      </c>
      <c r="C154" s="4" t="s">
        <v>591</v>
      </c>
      <c r="D154" s="5">
        <v>45115</v>
      </c>
      <c r="E154" s="4">
        <v>2820.56</v>
      </c>
      <c r="F154" s="4" t="s">
        <v>299</v>
      </c>
      <c r="G154" s="4" t="s">
        <v>286</v>
      </c>
    </row>
    <row r="155" spans="1:7" x14ac:dyDescent="0.4">
      <c r="A155" s="4" t="s">
        <v>50</v>
      </c>
      <c r="B155" s="4" t="s">
        <v>592</v>
      </c>
      <c r="C155" s="4" t="s">
        <v>593</v>
      </c>
      <c r="D155" s="5">
        <v>44991</v>
      </c>
      <c r="E155" s="4">
        <v>4637.26</v>
      </c>
      <c r="F155" s="4" t="s">
        <v>299</v>
      </c>
      <c r="G155" s="4" t="s">
        <v>291</v>
      </c>
    </row>
    <row r="156" spans="1:7" x14ac:dyDescent="0.4">
      <c r="A156" s="4" t="s">
        <v>21</v>
      </c>
      <c r="B156" s="4" t="s">
        <v>594</v>
      </c>
      <c r="C156" s="4" t="s">
        <v>595</v>
      </c>
      <c r="D156" s="5">
        <v>44929</v>
      </c>
      <c r="E156" s="4">
        <v>2736.34</v>
      </c>
      <c r="F156" s="4" t="s">
        <v>282</v>
      </c>
      <c r="G156" s="4" t="s">
        <v>291</v>
      </c>
    </row>
    <row r="157" spans="1:7" x14ac:dyDescent="0.4">
      <c r="A157" s="4" t="s">
        <v>81</v>
      </c>
      <c r="B157" s="4" t="s">
        <v>596</v>
      </c>
      <c r="C157" s="4" t="s">
        <v>597</v>
      </c>
      <c r="D157" s="5">
        <v>45252</v>
      </c>
      <c r="E157" s="4">
        <v>4964.71</v>
      </c>
      <c r="F157" s="4" t="s">
        <v>294</v>
      </c>
      <c r="G157" s="4" t="s">
        <v>291</v>
      </c>
    </row>
    <row r="158" spans="1:7" x14ac:dyDescent="0.4">
      <c r="A158" s="4" t="s">
        <v>84</v>
      </c>
      <c r="B158" s="4" t="s">
        <v>598</v>
      </c>
      <c r="C158" s="4" t="s">
        <v>599</v>
      </c>
      <c r="D158" s="5">
        <v>45058</v>
      </c>
      <c r="E158" s="4">
        <v>4331.41</v>
      </c>
      <c r="F158" s="4" t="s">
        <v>282</v>
      </c>
      <c r="G158" s="4" t="s">
        <v>291</v>
      </c>
    </row>
    <row r="159" spans="1:7" x14ac:dyDescent="0.4">
      <c r="A159" s="4" t="s">
        <v>90</v>
      </c>
      <c r="B159" s="4" t="s">
        <v>600</v>
      </c>
      <c r="C159" s="4" t="s">
        <v>601</v>
      </c>
      <c r="D159" s="5">
        <v>45119</v>
      </c>
      <c r="E159" s="4">
        <v>1438.3</v>
      </c>
      <c r="F159" s="4" t="s">
        <v>294</v>
      </c>
      <c r="G159" s="4" t="s">
        <v>286</v>
      </c>
    </row>
    <row r="160" spans="1:7" x14ac:dyDescent="0.4">
      <c r="A160" s="4" t="s">
        <v>34</v>
      </c>
      <c r="B160" s="4" t="s">
        <v>602</v>
      </c>
      <c r="C160" s="4" t="s">
        <v>603</v>
      </c>
      <c r="D160" s="5">
        <v>45024</v>
      </c>
      <c r="E160" s="4">
        <v>4687.68</v>
      </c>
      <c r="F160" s="4" t="s">
        <v>294</v>
      </c>
      <c r="G160" s="4" t="s">
        <v>283</v>
      </c>
    </row>
    <row r="161" spans="1:7" x14ac:dyDescent="0.4">
      <c r="A161" s="4" t="s">
        <v>37</v>
      </c>
      <c r="B161" s="4" t="s">
        <v>604</v>
      </c>
      <c r="C161" s="4" t="s">
        <v>605</v>
      </c>
      <c r="D161" s="5">
        <v>45277</v>
      </c>
      <c r="E161" s="4">
        <v>1023.65</v>
      </c>
      <c r="F161" s="4" t="s">
        <v>299</v>
      </c>
      <c r="G161" s="4" t="s">
        <v>286</v>
      </c>
    </row>
    <row r="162" spans="1:7" x14ac:dyDescent="0.4">
      <c r="A162" s="4" t="s">
        <v>28</v>
      </c>
      <c r="B162" s="4" t="s">
        <v>606</v>
      </c>
      <c r="C162" s="4" t="s">
        <v>607</v>
      </c>
      <c r="D162" s="5">
        <v>45094</v>
      </c>
      <c r="E162" s="4">
        <v>4178.5200000000004</v>
      </c>
      <c r="F162" s="4" t="s">
        <v>282</v>
      </c>
      <c r="G162" s="4" t="s">
        <v>286</v>
      </c>
    </row>
    <row r="163" spans="1:7" x14ac:dyDescent="0.4">
      <c r="A163" s="4" t="s">
        <v>234</v>
      </c>
      <c r="B163" s="4" t="s">
        <v>608</v>
      </c>
      <c r="C163" s="4" t="s">
        <v>609</v>
      </c>
      <c r="D163" s="5">
        <v>44927</v>
      </c>
      <c r="E163" s="4">
        <v>2212.8000000000002</v>
      </c>
      <c r="F163" s="4" t="s">
        <v>299</v>
      </c>
      <c r="G163" s="4" t="s">
        <v>286</v>
      </c>
    </row>
    <row r="164" spans="1:7" x14ac:dyDescent="0.4">
      <c r="A164" s="4" t="s">
        <v>37</v>
      </c>
      <c r="B164" s="4" t="s">
        <v>610</v>
      </c>
      <c r="C164" s="4" t="s">
        <v>611</v>
      </c>
      <c r="D164" s="5">
        <v>45104</v>
      </c>
      <c r="E164" s="4">
        <v>4450.88</v>
      </c>
      <c r="F164" s="4" t="s">
        <v>282</v>
      </c>
      <c r="G164" s="4" t="s">
        <v>283</v>
      </c>
    </row>
    <row r="165" spans="1:7" x14ac:dyDescent="0.4">
      <c r="A165" s="4" t="s">
        <v>61</v>
      </c>
      <c r="B165" s="4" t="s">
        <v>612</v>
      </c>
      <c r="C165" s="4" t="s">
        <v>613</v>
      </c>
      <c r="D165" s="5">
        <v>45135</v>
      </c>
      <c r="E165" s="4">
        <v>4406.26</v>
      </c>
      <c r="F165" s="4" t="s">
        <v>294</v>
      </c>
      <c r="G165" s="4" t="s">
        <v>291</v>
      </c>
    </row>
    <row r="166" spans="1:7" x14ac:dyDescent="0.4">
      <c r="A166" s="4" t="s">
        <v>97</v>
      </c>
      <c r="B166" s="4" t="s">
        <v>614</v>
      </c>
      <c r="C166" s="4" t="s">
        <v>615</v>
      </c>
      <c r="D166" s="5">
        <v>45020</v>
      </c>
      <c r="E166" s="4">
        <v>4126.66</v>
      </c>
      <c r="F166" s="4" t="s">
        <v>299</v>
      </c>
      <c r="G166" s="4" t="s">
        <v>291</v>
      </c>
    </row>
    <row r="167" spans="1:7" x14ac:dyDescent="0.4">
      <c r="A167" s="4" t="s">
        <v>40</v>
      </c>
      <c r="B167" s="4" t="s">
        <v>616</v>
      </c>
      <c r="C167" s="4" t="s">
        <v>617</v>
      </c>
      <c r="D167" s="5">
        <v>44938</v>
      </c>
      <c r="E167" s="4">
        <v>4055.14</v>
      </c>
      <c r="F167" s="4" t="s">
        <v>299</v>
      </c>
      <c r="G167" s="4" t="s">
        <v>291</v>
      </c>
    </row>
    <row r="168" spans="1:7" x14ac:dyDescent="0.4">
      <c r="A168" s="4" t="s">
        <v>125</v>
      </c>
      <c r="B168" s="4" t="s">
        <v>618</v>
      </c>
      <c r="C168" s="4" t="s">
        <v>619</v>
      </c>
      <c r="D168" s="5">
        <v>45245</v>
      </c>
      <c r="E168" s="4">
        <v>1871.06</v>
      </c>
      <c r="F168" s="4" t="s">
        <v>294</v>
      </c>
      <c r="G168" s="4" t="s">
        <v>283</v>
      </c>
    </row>
    <row r="169" spans="1:7" x14ac:dyDescent="0.4">
      <c r="A169" s="4" t="s">
        <v>90</v>
      </c>
      <c r="B169" s="4" t="s">
        <v>620</v>
      </c>
      <c r="C169" s="4" t="s">
        <v>621</v>
      </c>
      <c r="D169" s="5">
        <v>45198</v>
      </c>
      <c r="E169" s="4">
        <v>864.14</v>
      </c>
      <c r="F169" s="4" t="s">
        <v>294</v>
      </c>
      <c r="G169" s="4" t="s">
        <v>291</v>
      </c>
    </row>
    <row r="170" spans="1:7" x14ac:dyDescent="0.4">
      <c r="A170" s="4" t="s">
        <v>45</v>
      </c>
      <c r="B170" s="4" t="s">
        <v>622</v>
      </c>
      <c r="C170" s="4" t="s">
        <v>623</v>
      </c>
      <c r="D170" s="5">
        <v>45131</v>
      </c>
      <c r="E170" s="4">
        <v>2313.41</v>
      </c>
      <c r="F170" s="4" t="s">
        <v>294</v>
      </c>
      <c r="G170" s="4" t="s">
        <v>283</v>
      </c>
    </row>
    <row r="171" spans="1:7" x14ac:dyDescent="0.4">
      <c r="A171" s="4" t="s">
        <v>129</v>
      </c>
      <c r="B171" s="4" t="s">
        <v>624</v>
      </c>
      <c r="C171" s="4" t="s">
        <v>625</v>
      </c>
      <c r="D171" s="5">
        <v>44988</v>
      </c>
      <c r="E171" s="4">
        <v>1280.8599999999999</v>
      </c>
      <c r="F171" s="4" t="s">
        <v>299</v>
      </c>
      <c r="G171" s="4" t="s">
        <v>291</v>
      </c>
    </row>
    <row r="172" spans="1:7" x14ac:dyDescent="0.4">
      <c r="A172" s="4" t="s">
        <v>168</v>
      </c>
      <c r="B172" s="4" t="s">
        <v>626</v>
      </c>
      <c r="C172" s="4" t="s">
        <v>627</v>
      </c>
      <c r="D172" s="5">
        <v>45034</v>
      </c>
      <c r="E172" s="4">
        <v>3627.28</v>
      </c>
      <c r="F172" s="4" t="s">
        <v>282</v>
      </c>
      <c r="G172" s="4" t="s">
        <v>291</v>
      </c>
    </row>
    <row r="173" spans="1:7" x14ac:dyDescent="0.4">
      <c r="A173" s="4" t="s">
        <v>185</v>
      </c>
      <c r="B173" s="4" t="s">
        <v>628</v>
      </c>
      <c r="C173" s="4" t="s">
        <v>629</v>
      </c>
      <c r="D173" s="5">
        <v>44994</v>
      </c>
      <c r="E173" s="4">
        <v>2057.4499999999998</v>
      </c>
      <c r="F173" s="4" t="s">
        <v>299</v>
      </c>
      <c r="G173" s="4" t="s">
        <v>286</v>
      </c>
    </row>
    <row r="174" spans="1:7" x14ac:dyDescent="0.4">
      <c r="A174" s="4" t="s">
        <v>66</v>
      </c>
      <c r="B174" s="4" t="s">
        <v>630</v>
      </c>
      <c r="C174" s="4" t="s">
        <v>631</v>
      </c>
      <c r="D174" s="5">
        <v>45081</v>
      </c>
      <c r="E174" s="4">
        <v>4890.25</v>
      </c>
      <c r="F174" s="4" t="s">
        <v>282</v>
      </c>
      <c r="G174" s="4" t="s">
        <v>283</v>
      </c>
    </row>
    <row r="175" spans="1:7" x14ac:dyDescent="0.4">
      <c r="A175" s="4" t="s">
        <v>50</v>
      </c>
      <c r="B175" s="4" t="s">
        <v>632</v>
      </c>
      <c r="C175" s="4" t="s">
        <v>633</v>
      </c>
      <c r="D175" s="5">
        <v>45230</v>
      </c>
      <c r="E175" s="4">
        <v>3384.37</v>
      </c>
      <c r="F175" s="4" t="s">
        <v>299</v>
      </c>
      <c r="G175" s="4" t="s">
        <v>286</v>
      </c>
    </row>
    <row r="176" spans="1:7" x14ac:dyDescent="0.4">
      <c r="A176" s="4" t="s">
        <v>177</v>
      </c>
      <c r="B176" s="4" t="s">
        <v>634</v>
      </c>
      <c r="C176" s="4" t="s">
        <v>635</v>
      </c>
      <c r="D176" s="5">
        <v>45221</v>
      </c>
      <c r="E176" s="4">
        <v>4201.16</v>
      </c>
      <c r="F176" s="4" t="s">
        <v>299</v>
      </c>
      <c r="G176" s="4" t="s">
        <v>286</v>
      </c>
    </row>
    <row r="177" spans="1:7" x14ac:dyDescent="0.4">
      <c r="A177" s="4" t="s">
        <v>92</v>
      </c>
      <c r="B177" s="4" t="s">
        <v>636</v>
      </c>
      <c r="C177" s="4" t="s">
        <v>637</v>
      </c>
      <c r="D177" s="5">
        <v>45042</v>
      </c>
      <c r="E177" s="4">
        <v>1096.3599999999999</v>
      </c>
      <c r="F177" s="4" t="s">
        <v>294</v>
      </c>
      <c r="G177" s="4" t="s">
        <v>286</v>
      </c>
    </row>
    <row r="178" spans="1:7" x14ac:dyDescent="0.4">
      <c r="A178" s="4" t="s">
        <v>139</v>
      </c>
      <c r="B178" s="4" t="s">
        <v>638</v>
      </c>
      <c r="C178" s="4" t="s">
        <v>639</v>
      </c>
      <c r="D178" s="5">
        <v>45154</v>
      </c>
      <c r="E178" s="4">
        <v>4379.07</v>
      </c>
      <c r="F178" s="4" t="s">
        <v>282</v>
      </c>
      <c r="G178" s="4" t="s">
        <v>283</v>
      </c>
    </row>
    <row r="179" spans="1:7" x14ac:dyDescent="0.4">
      <c r="A179" s="4" t="s">
        <v>151</v>
      </c>
      <c r="B179" s="4" t="s">
        <v>640</v>
      </c>
      <c r="C179" s="4" t="s">
        <v>641</v>
      </c>
      <c r="D179" s="5">
        <v>44943</v>
      </c>
      <c r="E179" s="4">
        <v>4652.41</v>
      </c>
      <c r="F179" s="4" t="s">
        <v>299</v>
      </c>
      <c r="G179" s="4" t="s">
        <v>283</v>
      </c>
    </row>
    <row r="180" spans="1:7" x14ac:dyDescent="0.4">
      <c r="A180" s="4" t="s">
        <v>252</v>
      </c>
      <c r="B180" s="4" t="s">
        <v>642</v>
      </c>
      <c r="C180" s="4" t="s">
        <v>643</v>
      </c>
      <c r="D180" s="5">
        <v>44993</v>
      </c>
      <c r="E180" s="4">
        <v>2691.78</v>
      </c>
      <c r="F180" s="4" t="s">
        <v>299</v>
      </c>
      <c r="G180" s="4" t="s">
        <v>291</v>
      </c>
    </row>
    <row r="181" spans="1:7" x14ac:dyDescent="0.4">
      <c r="A181" s="4" t="s">
        <v>163</v>
      </c>
      <c r="B181" s="4" t="s">
        <v>644</v>
      </c>
      <c r="C181" s="4" t="s">
        <v>645</v>
      </c>
      <c r="D181" s="5">
        <v>44933</v>
      </c>
      <c r="E181" s="4">
        <v>3228.14</v>
      </c>
      <c r="F181" s="4" t="s">
        <v>294</v>
      </c>
      <c r="G181" s="4" t="s">
        <v>286</v>
      </c>
    </row>
    <row r="182" spans="1:7" x14ac:dyDescent="0.4">
      <c r="A182" s="4" t="s">
        <v>72</v>
      </c>
      <c r="B182" s="4" t="s">
        <v>646</v>
      </c>
      <c r="C182" s="4" t="s">
        <v>647</v>
      </c>
      <c r="D182" s="5">
        <v>45172</v>
      </c>
      <c r="E182" s="4">
        <v>3941.64</v>
      </c>
      <c r="F182" s="4" t="s">
        <v>294</v>
      </c>
      <c r="G182" s="4" t="s">
        <v>291</v>
      </c>
    </row>
    <row r="183" spans="1:7" x14ac:dyDescent="0.4">
      <c r="A183" s="4" t="s">
        <v>142</v>
      </c>
      <c r="B183" s="4" t="s">
        <v>648</v>
      </c>
      <c r="C183" s="4" t="s">
        <v>649</v>
      </c>
      <c r="D183" s="5">
        <v>45028</v>
      </c>
      <c r="E183" s="4">
        <v>1286.77</v>
      </c>
      <c r="F183" s="4" t="s">
        <v>282</v>
      </c>
      <c r="G183" s="4" t="s">
        <v>286</v>
      </c>
    </row>
    <row r="184" spans="1:7" x14ac:dyDescent="0.4">
      <c r="A184" s="4" t="s">
        <v>24</v>
      </c>
      <c r="B184" s="4" t="s">
        <v>650</v>
      </c>
      <c r="C184" s="4" t="s">
        <v>651</v>
      </c>
      <c r="D184" s="5">
        <v>44960</v>
      </c>
      <c r="E184" s="4">
        <v>2761.55</v>
      </c>
      <c r="F184" s="4" t="s">
        <v>299</v>
      </c>
      <c r="G184" s="4" t="s">
        <v>283</v>
      </c>
    </row>
    <row r="185" spans="1:7" x14ac:dyDescent="0.4">
      <c r="A185" s="4" t="s">
        <v>234</v>
      </c>
      <c r="B185" s="4" t="s">
        <v>652</v>
      </c>
      <c r="C185" s="4" t="s">
        <v>653</v>
      </c>
      <c r="D185" s="5">
        <v>44983</v>
      </c>
      <c r="E185" s="4">
        <v>2293.98</v>
      </c>
      <c r="F185" s="4" t="s">
        <v>282</v>
      </c>
      <c r="G185" s="4" t="s">
        <v>283</v>
      </c>
    </row>
    <row r="186" spans="1:7" x14ac:dyDescent="0.4">
      <c r="A186" s="4" t="s">
        <v>177</v>
      </c>
      <c r="B186" s="4" t="s">
        <v>654</v>
      </c>
      <c r="C186" s="4" t="s">
        <v>655</v>
      </c>
      <c r="D186" s="5">
        <v>45006</v>
      </c>
      <c r="E186" s="4">
        <v>1158.68</v>
      </c>
      <c r="F186" s="4" t="s">
        <v>299</v>
      </c>
      <c r="G186" s="4" t="s">
        <v>283</v>
      </c>
    </row>
    <row r="187" spans="1:7" x14ac:dyDescent="0.4">
      <c r="A187" s="4" t="s">
        <v>123</v>
      </c>
      <c r="B187" s="4" t="s">
        <v>656</v>
      </c>
      <c r="C187" s="4" t="s">
        <v>657</v>
      </c>
      <c r="D187" s="5">
        <v>45012</v>
      </c>
      <c r="E187" s="4">
        <v>2153.9</v>
      </c>
      <c r="F187" s="4" t="s">
        <v>282</v>
      </c>
      <c r="G187" s="4" t="s">
        <v>286</v>
      </c>
    </row>
    <row r="188" spans="1:7" x14ac:dyDescent="0.4">
      <c r="A188" s="4" t="s">
        <v>117</v>
      </c>
      <c r="B188" s="4" t="s">
        <v>658</v>
      </c>
      <c r="C188" s="4" t="s">
        <v>659</v>
      </c>
      <c r="D188" s="5">
        <v>44970</v>
      </c>
      <c r="E188" s="4">
        <v>806.78</v>
      </c>
      <c r="F188" s="4" t="s">
        <v>294</v>
      </c>
      <c r="G188" s="4" t="s">
        <v>283</v>
      </c>
    </row>
    <row r="189" spans="1:7" x14ac:dyDescent="0.4">
      <c r="A189" s="4" t="s">
        <v>112</v>
      </c>
      <c r="B189" s="4" t="s">
        <v>660</v>
      </c>
      <c r="C189" s="4" t="s">
        <v>661</v>
      </c>
      <c r="D189" s="5">
        <v>45028</v>
      </c>
      <c r="E189" s="4">
        <v>616.15</v>
      </c>
      <c r="F189" s="4" t="s">
        <v>299</v>
      </c>
      <c r="G189" s="4" t="s">
        <v>286</v>
      </c>
    </row>
    <row r="190" spans="1:7" x14ac:dyDescent="0.4">
      <c r="A190" s="4" t="s">
        <v>40</v>
      </c>
      <c r="B190" s="4" t="s">
        <v>662</v>
      </c>
      <c r="C190" s="4" t="s">
        <v>663</v>
      </c>
      <c r="D190" s="5">
        <v>45204</v>
      </c>
      <c r="E190" s="4">
        <v>1108.25</v>
      </c>
      <c r="F190" s="4" t="s">
        <v>282</v>
      </c>
      <c r="G190" s="4" t="s">
        <v>291</v>
      </c>
    </row>
    <row r="191" spans="1:7" x14ac:dyDescent="0.4">
      <c r="A191" s="4" t="s">
        <v>45</v>
      </c>
      <c r="B191" s="4" t="s">
        <v>664</v>
      </c>
      <c r="C191" s="4" t="s">
        <v>665</v>
      </c>
      <c r="D191" s="5">
        <v>45246</v>
      </c>
      <c r="E191" s="4">
        <v>4834.0200000000004</v>
      </c>
      <c r="F191" s="4" t="s">
        <v>294</v>
      </c>
      <c r="G191" s="4" t="s">
        <v>286</v>
      </c>
    </row>
    <row r="192" spans="1:7" x14ac:dyDescent="0.4">
      <c r="A192" s="4" t="s">
        <v>56</v>
      </c>
      <c r="B192" s="4" t="s">
        <v>666</v>
      </c>
      <c r="C192" s="4" t="s">
        <v>667</v>
      </c>
      <c r="D192" s="5">
        <v>45028</v>
      </c>
      <c r="E192" s="4">
        <v>2972.88</v>
      </c>
      <c r="F192" s="4" t="s">
        <v>294</v>
      </c>
      <c r="G192" s="4" t="s">
        <v>291</v>
      </c>
    </row>
    <row r="193" spans="1:7" x14ac:dyDescent="0.4">
      <c r="A193" s="4" t="s">
        <v>252</v>
      </c>
      <c r="B193" s="4" t="s">
        <v>668</v>
      </c>
      <c r="C193" s="4" t="s">
        <v>669</v>
      </c>
      <c r="D193" s="5">
        <v>45169</v>
      </c>
      <c r="E193" s="4">
        <v>4846.2</v>
      </c>
      <c r="F193" s="4" t="s">
        <v>282</v>
      </c>
      <c r="G193" s="4" t="s">
        <v>286</v>
      </c>
    </row>
    <row r="194" spans="1:7" x14ac:dyDescent="0.4">
      <c r="A194" s="4" t="s">
        <v>100</v>
      </c>
      <c r="B194" s="4" t="s">
        <v>670</v>
      </c>
      <c r="C194" s="4" t="s">
        <v>671</v>
      </c>
      <c r="D194" s="5">
        <v>45184</v>
      </c>
      <c r="E194" s="4">
        <v>2446.2399999999998</v>
      </c>
      <c r="F194" s="4" t="s">
        <v>299</v>
      </c>
      <c r="G194" s="4" t="s">
        <v>291</v>
      </c>
    </row>
    <row r="195" spans="1:7" x14ac:dyDescent="0.4">
      <c r="A195" s="4" t="s">
        <v>154</v>
      </c>
      <c r="B195" s="4" t="s">
        <v>672</v>
      </c>
      <c r="C195" s="4" t="s">
        <v>673</v>
      </c>
      <c r="D195" s="5">
        <v>45022</v>
      </c>
      <c r="E195" s="4">
        <v>1903.17</v>
      </c>
      <c r="F195" s="4" t="s">
        <v>299</v>
      </c>
      <c r="G195" s="4" t="s">
        <v>283</v>
      </c>
    </row>
    <row r="196" spans="1:7" x14ac:dyDescent="0.4">
      <c r="A196" s="4" t="s">
        <v>17</v>
      </c>
      <c r="B196" s="4" t="s">
        <v>674</v>
      </c>
      <c r="C196" s="4" t="s">
        <v>675</v>
      </c>
      <c r="D196" s="5">
        <v>45157</v>
      </c>
      <c r="E196" s="4">
        <v>2777.64</v>
      </c>
      <c r="F196" s="4" t="s">
        <v>294</v>
      </c>
      <c r="G196" s="4" t="s">
        <v>291</v>
      </c>
    </row>
    <row r="197" spans="1:7" x14ac:dyDescent="0.4">
      <c r="A197" s="4" t="s">
        <v>28</v>
      </c>
      <c r="B197" s="4" t="s">
        <v>676</v>
      </c>
      <c r="C197" s="4" t="s">
        <v>677</v>
      </c>
      <c r="D197" s="5">
        <v>45225</v>
      </c>
      <c r="E197" s="4">
        <v>2477.8000000000002</v>
      </c>
      <c r="F197" s="4" t="s">
        <v>299</v>
      </c>
      <c r="G197" s="4" t="s">
        <v>283</v>
      </c>
    </row>
    <row r="198" spans="1:7" x14ac:dyDescent="0.4">
      <c r="A198" s="4" t="s">
        <v>31</v>
      </c>
      <c r="B198" s="4" t="s">
        <v>678</v>
      </c>
      <c r="C198" s="4" t="s">
        <v>679</v>
      </c>
      <c r="D198" s="5">
        <v>45017</v>
      </c>
      <c r="E198" s="4">
        <v>975.49</v>
      </c>
      <c r="F198" s="4" t="s">
        <v>299</v>
      </c>
      <c r="G198" s="4" t="s">
        <v>283</v>
      </c>
    </row>
    <row r="199" spans="1:7" x14ac:dyDescent="0.4">
      <c r="A199" s="4" t="s">
        <v>43</v>
      </c>
      <c r="B199" s="4" t="s">
        <v>680</v>
      </c>
      <c r="C199" s="4" t="s">
        <v>681</v>
      </c>
      <c r="D199" s="5">
        <v>45061</v>
      </c>
      <c r="E199" s="4">
        <v>3383.72</v>
      </c>
      <c r="F199" s="4" t="s">
        <v>299</v>
      </c>
      <c r="G199" s="4" t="s">
        <v>291</v>
      </c>
    </row>
    <row r="200" spans="1:7" x14ac:dyDescent="0.4">
      <c r="A200" s="4" t="s">
        <v>151</v>
      </c>
      <c r="B200" s="4" t="s">
        <v>682</v>
      </c>
      <c r="C200" s="4" t="s">
        <v>683</v>
      </c>
      <c r="D200" s="5">
        <v>45047</v>
      </c>
      <c r="E200" s="4">
        <v>1472.17</v>
      </c>
      <c r="F200" s="4" t="s">
        <v>294</v>
      </c>
      <c r="G200" s="4" t="s">
        <v>286</v>
      </c>
    </row>
    <row r="201" spans="1:7" x14ac:dyDescent="0.4">
      <c r="A201" s="4" t="s">
        <v>163</v>
      </c>
      <c r="B201" s="4" t="s">
        <v>684</v>
      </c>
      <c r="C201" s="4" t="s">
        <v>685</v>
      </c>
      <c r="D201" s="5">
        <v>45290</v>
      </c>
      <c r="E201" s="4">
        <v>3288.15</v>
      </c>
      <c r="F201" s="4" t="s">
        <v>282</v>
      </c>
      <c r="G201" s="4" t="s">
        <v>286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495A-2980-4077-AE69-5FDF407BC6F8}">
  <dimension ref="A1:AC201"/>
  <sheetViews>
    <sheetView topLeftCell="K5" zoomScale="95" zoomScaleNormal="95" workbookViewId="0">
      <selection activeCell="K25" sqref="A25:XFD25"/>
    </sheetView>
  </sheetViews>
  <sheetFormatPr defaultRowHeight="14.6" x14ac:dyDescent="0.4"/>
  <cols>
    <col min="1" max="1" width="15.69140625" bestFit="1" customWidth="1"/>
    <col min="2" max="2" width="9.3828125" bestFit="1" customWidth="1"/>
    <col min="3" max="3" width="15.69140625" bestFit="1" customWidth="1"/>
    <col min="4" max="4" width="7.61328125" bestFit="1" customWidth="1"/>
    <col min="5" max="5" width="13.69140625" style="1" bestFit="1" customWidth="1"/>
    <col min="6" max="6" width="16.07421875" bestFit="1" customWidth="1"/>
    <col min="7" max="7" width="11.84375" bestFit="1" customWidth="1"/>
    <col min="8" max="8" width="17.23046875" style="1" bestFit="1" customWidth="1"/>
    <col min="9" max="9" width="23.921875" bestFit="1" customWidth="1"/>
    <col min="10" max="10" width="10.15234375" bestFit="1" customWidth="1"/>
    <col min="11" max="11" width="15.3046875" bestFit="1" customWidth="1"/>
    <col min="12" max="12" width="13.53515625" bestFit="1" customWidth="1"/>
    <col min="13" max="13" width="13.765625" bestFit="1" customWidth="1"/>
    <col min="14" max="14" width="15.69140625" bestFit="1" customWidth="1"/>
    <col min="15" max="15" width="18.15234375" style="1" bestFit="1" customWidth="1"/>
    <col min="16" max="16" width="18.3046875" style="3" bestFit="1" customWidth="1"/>
    <col min="17" max="17" width="16.3046875" bestFit="1" customWidth="1"/>
    <col min="18" max="18" width="9.921875" bestFit="1" customWidth="1"/>
    <col min="19" max="19" width="12.15234375" bestFit="1" customWidth="1"/>
    <col min="20" max="20" width="15.61328125" style="1" bestFit="1" customWidth="1"/>
    <col min="21" max="21" width="11.3046875" customWidth="1"/>
    <col min="22" max="22" width="14.4609375" bestFit="1" customWidth="1"/>
    <col min="23" max="23" width="11.3828125" customWidth="1"/>
    <col min="24" max="24" width="10.07421875" style="1" customWidth="1"/>
    <col min="25" max="25" width="10.07421875" style="2" customWidth="1"/>
    <col min="26" max="26" width="17.23046875" style="2" bestFit="1" customWidth="1"/>
    <col min="27" max="27" width="15.4609375" style="1" bestFit="1" customWidth="1"/>
    <col min="28" max="29" width="11.3046875" customWidth="1"/>
  </cols>
  <sheetData>
    <row r="1" spans="1:29" s="60" customFormat="1" ht="15.9" x14ac:dyDescent="0.45">
      <c r="A1" s="55" t="s">
        <v>973</v>
      </c>
      <c r="B1" s="55" t="s">
        <v>974</v>
      </c>
      <c r="C1" s="55" t="s">
        <v>869</v>
      </c>
      <c r="D1" s="55" t="s">
        <v>849</v>
      </c>
      <c r="E1" s="56" t="s">
        <v>850</v>
      </c>
      <c r="F1" s="57" t="s">
        <v>851</v>
      </c>
      <c r="G1" s="55" t="s">
        <v>852</v>
      </c>
      <c r="H1" s="56" t="s">
        <v>853</v>
      </c>
      <c r="I1" s="55" t="s">
        <v>857</v>
      </c>
      <c r="J1" s="55" t="s">
        <v>975</v>
      </c>
      <c r="K1" s="55" t="s">
        <v>907</v>
      </c>
      <c r="L1" s="55" t="s">
        <v>854</v>
      </c>
      <c r="M1" s="57" t="s">
        <v>855</v>
      </c>
      <c r="N1" s="55" t="s">
        <v>856</v>
      </c>
      <c r="O1" s="56" t="s">
        <v>858</v>
      </c>
      <c r="P1" s="58" t="s">
        <v>859</v>
      </c>
      <c r="Q1" s="55" t="s">
        <v>860</v>
      </c>
      <c r="R1" s="55" t="s">
        <v>861</v>
      </c>
      <c r="S1" s="55" t="s">
        <v>976</v>
      </c>
      <c r="T1" s="55" t="s">
        <v>862</v>
      </c>
      <c r="U1" s="59" t="s">
        <v>863</v>
      </c>
      <c r="V1" s="56" t="s">
        <v>864</v>
      </c>
      <c r="W1" s="55" t="s">
        <v>977</v>
      </c>
      <c r="X1" s="56" t="s">
        <v>865</v>
      </c>
      <c r="Y1" s="59" t="s">
        <v>866</v>
      </c>
      <c r="Z1" s="55" t="s">
        <v>867</v>
      </c>
      <c r="AA1" s="55" t="s">
        <v>868</v>
      </c>
      <c r="AC1" s="61"/>
    </row>
    <row r="2" spans="1:29" x14ac:dyDescent="0.4">
      <c r="A2" s="51" t="s">
        <v>7</v>
      </c>
      <c r="B2" s="51" t="s">
        <v>8</v>
      </c>
      <c r="C2" s="51" t="s">
        <v>870</v>
      </c>
      <c r="D2" s="51" t="str">
        <f>VLOOKUP(appointments7[[#This Row],[Patient_ID]],Patients!$A:$K,4,FALSE)</f>
        <v>F</v>
      </c>
      <c r="E2" s="52">
        <f>VLOOKUP(appointments7[[#This Row],[Patient_ID]],Patients!$A:$K,5,FALSE)</f>
        <v>18289</v>
      </c>
      <c r="F2" s="51">
        <f>VLOOKUP(appointments7[[#This Row],[Patient_ID]],Patients!$A:$K,6,FALSE)</f>
        <v>8374657733</v>
      </c>
      <c r="G2" s="51" t="str">
        <f>VLOOKUP(appointments7[[#This Row],[Patient_ID]],Patients!$A:$K,7,FALSE)</f>
        <v>321 Maple Dr</v>
      </c>
      <c r="H2" s="52">
        <f>VLOOKUP(appointments7[[#This Row],[Patient_ID]],Patients!$A:$K,8,FALSE)</f>
        <v>45095</v>
      </c>
      <c r="I2" s="51" t="str">
        <f>VLOOKUP(appointments7[[#This Row],[Patient_ID]],Patients!$A:$K,11,FALSE)</f>
        <v>alex.smith@mail.com</v>
      </c>
      <c r="J2" s="51" t="s">
        <v>9</v>
      </c>
      <c r="K2" s="51" t="s">
        <v>908</v>
      </c>
      <c r="L2" s="51" t="str">
        <f>VLOOKUP(appointments7[[#This Row],[Doctor_ID]],Doctors!$A:$H,4,FALSE)</f>
        <v>Pediatrics</v>
      </c>
      <c r="M2" s="51">
        <f>VLOOKUP(appointments7[[#This Row],[Doctor_ID]],Doctors!$A:$H,5,FALSE)</f>
        <v>7387087517</v>
      </c>
      <c r="N2" s="51" t="str">
        <f>VLOOKUP(appointments7[[#This Row],[Doctor_ID]],Doctors!$A:$H,7,FALSE)</f>
        <v>Central Hospital</v>
      </c>
      <c r="O2" s="52">
        <v>45147</v>
      </c>
      <c r="P2" s="53">
        <v>0.63541666666666674</v>
      </c>
      <c r="Q2" s="51" t="s">
        <v>10</v>
      </c>
      <c r="R2" s="51" t="s">
        <v>11</v>
      </c>
      <c r="S2" s="51" t="str">
        <f>VLOOKUP(appointments7[[#This Row],[Appointment_ID]],Treatments!$A:$F,2,FALSE)</f>
        <v>T001</v>
      </c>
      <c r="T2" s="51" t="str">
        <f>VLOOKUP(appointments7[[#This Row],[Appointment_ID]],Treatments!$A:$F,3,FALSE)</f>
        <v>Chemotherapy</v>
      </c>
      <c r="U2" s="54">
        <f>VLOOKUP(treatments[[#This Row],[appointment_id]],Treatments!$A:$F,5,FALSE)</f>
        <v>3941.97</v>
      </c>
      <c r="V2" s="52">
        <f>VLOOKUP(appointments7[[#This Row],[Appointment_ID]],Treatments!$A:$F,6,FALSE)</f>
        <v>45147</v>
      </c>
      <c r="W2" s="52" t="str">
        <f>VLOOKUP(appointments7[[#This Row],[Patient_ID]],Billing!$A:$G,2,FALSE)</f>
        <v>B001</v>
      </c>
      <c r="X2" s="52">
        <f>VLOOKUP(appointments7[[#This Row],[Patient_ID]],Billing!$A:$H,4,FALSE)</f>
        <v>45147</v>
      </c>
      <c r="Y2" s="54">
        <f>VLOOKUP(appointments7[[#This Row],[Patient_ID]],Billing!$A:$G,5,FALSE)</f>
        <v>3941.97</v>
      </c>
      <c r="Z2" s="54" t="str">
        <f>VLOOKUP(appointments7[[#This Row],[Patient_ID]],Billing!$A:$G,6,FALSE)</f>
        <v>Insurance</v>
      </c>
      <c r="AA2" s="52" t="str">
        <f>VLOOKUP(appointments7[[#This Row],[Patient_ID]],Billing!$A:$G,7,FALSE)</f>
        <v>Pending</v>
      </c>
      <c r="AB2" s="2"/>
      <c r="AC2" s="2"/>
    </row>
    <row r="3" spans="1:29" x14ac:dyDescent="0.4">
      <c r="A3" s="51" t="s">
        <v>12</v>
      </c>
      <c r="B3" s="51" t="s">
        <v>13</v>
      </c>
      <c r="C3" s="51" t="s">
        <v>871</v>
      </c>
      <c r="D3" s="51" t="str">
        <f>VLOOKUP(appointments7[[#This Row],[Patient_ID]],Patients!$A:$K,4,FALSE)</f>
        <v>M</v>
      </c>
      <c r="E3" s="52">
        <f>VLOOKUP(appointments7[[#This Row],[Patient_ID]],Patients!$A:$K,5,FALSE)</f>
        <v>29594</v>
      </c>
      <c r="F3" s="51">
        <f>VLOOKUP(appointments7[[#This Row],[Patient_ID]],Patients!$A:$K,6,FALSE)</f>
        <v>8102183595</v>
      </c>
      <c r="G3" s="51" t="str">
        <f>VLOOKUP(appointments7[[#This Row],[Patient_ID]],Patients!$A:$K,7,FALSE)</f>
        <v>123 Elm St</v>
      </c>
      <c r="H3" s="52">
        <f>VLOOKUP(appointments7[[#This Row],[Patient_ID]],Patients!$A:$K,8,FALSE)</f>
        <v>44471</v>
      </c>
      <c r="I3" s="51" t="str">
        <f>VLOOKUP(appointments7[[#This Row],[Patient_ID]],Patients!$A:$K,11,FALSE)</f>
        <v>alex.moore@mail.com</v>
      </c>
      <c r="J3" s="51" t="s">
        <v>14</v>
      </c>
      <c r="K3" s="51" t="s">
        <v>909</v>
      </c>
      <c r="L3" s="51" t="str">
        <f>VLOOKUP(appointments7[[#This Row],[Doctor_ID]],Doctors!$A:$H,4,FALSE)</f>
        <v>Pediatrics</v>
      </c>
      <c r="M3" s="51">
        <f>VLOOKUP(appointments7[[#This Row],[Doctor_ID]],Doctors!$A:$H,5,FALSE)</f>
        <v>6594221991</v>
      </c>
      <c r="N3" s="51" t="str">
        <f>VLOOKUP(appointments7[[#This Row],[Doctor_ID]],Doctors!$A:$H,7,FALSE)</f>
        <v>Central Hospital</v>
      </c>
      <c r="O3" s="52">
        <v>45086</v>
      </c>
      <c r="P3" s="53">
        <v>0.60416666666666674</v>
      </c>
      <c r="Q3" s="51" t="s">
        <v>10</v>
      </c>
      <c r="R3" s="51" t="s">
        <v>15</v>
      </c>
      <c r="S3" s="51" t="str">
        <f>VLOOKUP(appointments7[[#This Row],[Appointment_ID]],Treatments!$A:$F,2,FALSE)</f>
        <v>T002</v>
      </c>
      <c r="T3" s="51" t="str">
        <f>VLOOKUP(appointments7[[#This Row],[Appointment_ID]],Treatments!$A:$F,3,FALSE)</f>
        <v>MRI</v>
      </c>
      <c r="U3" s="54">
        <f>VLOOKUP(treatments[[#This Row],[appointment_id]],Treatments!$A:$F,5,FALSE)</f>
        <v>4158.4399999999996</v>
      </c>
      <c r="V3" s="52">
        <f>VLOOKUP(appointments7[[#This Row],[Appointment_ID]],Treatments!$A:$F,6,FALSE)</f>
        <v>45086</v>
      </c>
      <c r="W3" s="52" t="str">
        <f>VLOOKUP(appointments7[[#This Row],[Patient_ID]],Billing!$A:$G,2,FALSE)</f>
        <v>B002</v>
      </c>
      <c r="X3" s="52">
        <f>VLOOKUP(appointments7[[#This Row],[Patient_ID]],Billing!$A:$H,4,FALSE)</f>
        <v>45086</v>
      </c>
      <c r="Y3" s="54">
        <f>VLOOKUP(appointments7[[#This Row],[Patient_ID]],Billing!$A:$G,5,FALSE)</f>
        <v>4158.4399999999996</v>
      </c>
      <c r="Z3" s="54" t="str">
        <f>VLOOKUP(appointments7[[#This Row],[Patient_ID]],Billing!$A:$G,6,FALSE)</f>
        <v>Insurance</v>
      </c>
      <c r="AA3" s="52" t="str">
        <f>VLOOKUP(appointments7[[#This Row],[Patient_ID]],Billing!$A:$G,7,FALSE)</f>
        <v>Paid</v>
      </c>
      <c r="AB3" s="2"/>
      <c r="AC3" s="2"/>
    </row>
    <row r="4" spans="1:29" x14ac:dyDescent="0.4">
      <c r="A4" s="51" t="s">
        <v>16</v>
      </c>
      <c r="B4" s="51" t="s">
        <v>17</v>
      </c>
      <c r="C4" s="51" t="s">
        <v>872</v>
      </c>
      <c r="D4" s="51" t="str">
        <f>VLOOKUP(appointments7[[#This Row],[Patient_ID]],Patients!$A:$K,4,FALSE)</f>
        <v>M</v>
      </c>
      <c r="E4" s="52">
        <f>VLOOKUP(appointments7[[#This Row],[Patient_ID]],Patients!$A:$K,5,FALSE)</f>
        <v>30399</v>
      </c>
      <c r="F4" s="51">
        <f>VLOOKUP(appointments7[[#This Row],[Patient_ID]],Patients!$A:$K,6,FALSE)</f>
        <v>8720989381</v>
      </c>
      <c r="G4" s="51" t="str">
        <f>VLOOKUP(appointments7[[#This Row],[Patient_ID]],Patients!$A:$K,7,FALSE)</f>
        <v>123 Elm St</v>
      </c>
      <c r="H4" s="52">
        <f>VLOOKUP(appointments7[[#This Row],[Patient_ID]],Patients!$A:$K,8,FALSE)</f>
        <v>45096</v>
      </c>
      <c r="I4" s="51" t="str">
        <f>VLOOKUP(appointments7[[#This Row],[Patient_ID]],Patients!$A:$K,11,FALSE)</f>
        <v>emily.miller@mail.com</v>
      </c>
      <c r="J4" s="51" t="s">
        <v>14</v>
      </c>
      <c r="K4" s="51" t="s">
        <v>909</v>
      </c>
      <c r="L4" s="51" t="str">
        <f>VLOOKUP(appointments7[[#This Row],[Doctor_ID]],Doctors!$A:$H,4,FALSE)</f>
        <v>Pediatrics</v>
      </c>
      <c r="M4" s="51">
        <f>VLOOKUP(appointments7[[#This Row],[Doctor_ID]],Doctors!$A:$H,5,FALSE)</f>
        <v>6594221991</v>
      </c>
      <c r="N4" s="51" t="str">
        <f>VLOOKUP(appointments7[[#This Row],[Doctor_ID]],Doctors!$A:$H,7,FALSE)</f>
        <v>Central Hospital</v>
      </c>
      <c r="O4" s="52">
        <v>45105</v>
      </c>
      <c r="P4" s="53">
        <v>0.33333333333333326</v>
      </c>
      <c r="Q4" s="51" t="s">
        <v>18</v>
      </c>
      <c r="R4" s="51" t="s">
        <v>19</v>
      </c>
      <c r="S4" s="51" t="str">
        <f>VLOOKUP(appointments7[[#This Row],[Appointment_ID]],Treatments!$A:$F,2,FALSE)</f>
        <v>T003</v>
      </c>
      <c r="T4" s="51" t="str">
        <f>VLOOKUP(appointments7[[#This Row],[Appointment_ID]],Treatments!$A:$F,3,FALSE)</f>
        <v>MRI</v>
      </c>
      <c r="U4" s="54">
        <f>VLOOKUP(treatments[[#This Row],[appointment_id]],Treatments!$A:$F,5,FALSE)</f>
        <v>3731.55</v>
      </c>
      <c r="V4" s="52">
        <f>VLOOKUP(appointments7[[#This Row],[Appointment_ID]],Treatments!$A:$F,6,FALSE)</f>
        <v>45105</v>
      </c>
      <c r="W4" s="52" t="str">
        <f>VLOOKUP(appointments7[[#This Row],[Patient_ID]],Billing!$A:$G,2,FALSE)</f>
        <v>B003</v>
      </c>
      <c r="X4" s="52">
        <f>VLOOKUP(appointments7[[#This Row],[Patient_ID]],Billing!$A:$H,4,FALSE)</f>
        <v>45105</v>
      </c>
      <c r="Y4" s="54">
        <f>VLOOKUP(appointments7[[#This Row],[Patient_ID]],Billing!$A:$G,5,FALSE)</f>
        <v>3731.55</v>
      </c>
      <c r="Z4" s="54" t="str">
        <f>VLOOKUP(appointments7[[#This Row],[Patient_ID]],Billing!$A:$G,6,FALSE)</f>
        <v>Insurance</v>
      </c>
      <c r="AA4" s="52" t="str">
        <f>VLOOKUP(appointments7[[#This Row],[Patient_ID]],Billing!$A:$G,7,FALSE)</f>
        <v>Paid</v>
      </c>
      <c r="AB4" s="2"/>
      <c r="AC4" s="2"/>
    </row>
    <row r="5" spans="1:29" x14ac:dyDescent="0.4">
      <c r="A5" s="51" t="s">
        <v>20</v>
      </c>
      <c r="B5" s="51" t="s">
        <v>21</v>
      </c>
      <c r="C5" s="51" t="s">
        <v>873</v>
      </c>
      <c r="D5" s="51" t="str">
        <f>VLOOKUP(appointments7[[#This Row],[Patient_ID]],Patients!$A:$K,4,FALSE)</f>
        <v>M</v>
      </c>
      <c r="E5" s="52">
        <f>VLOOKUP(appointments7[[#This Row],[Patient_ID]],Patients!$A:$K,5,FALSE)</f>
        <v>24333</v>
      </c>
      <c r="F5" s="51">
        <f>VLOOKUP(appointments7[[#This Row],[Patient_ID]],Patients!$A:$K,6,FALSE)</f>
        <v>7482069727</v>
      </c>
      <c r="G5" s="51" t="str">
        <f>VLOOKUP(appointments7[[#This Row],[Patient_ID]],Patients!$A:$K,7,FALSE)</f>
        <v>123 Elm St</v>
      </c>
      <c r="H5" s="52">
        <f>VLOOKUP(appointments7[[#This Row],[Patient_ID]],Patients!$A:$K,8,FALSE)</f>
        <v>44448</v>
      </c>
      <c r="I5" s="51" t="str">
        <f>VLOOKUP(appointments7[[#This Row],[Patient_ID]],Patients!$A:$K,11,FALSE)</f>
        <v>robert.wilson@mail.com</v>
      </c>
      <c r="J5" s="51" t="s">
        <v>22</v>
      </c>
      <c r="K5" s="51" t="s">
        <v>910</v>
      </c>
      <c r="L5" s="51" t="str">
        <f>VLOOKUP(appointments7[[#This Row],[Doctor_ID]],Doctors!$A:$H,4,FALSE)</f>
        <v>Pediatrics</v>
      </c>
      <c r="M5" s="51">
        <f>VLOOKUP(appointments7[[#This Row],[Doctor_ID]],Doctors!$A:$H,5,FALSE)</f>
        <v>6570137231</v>
      </c>
      <c r="N5" s="51" t="str">
        <f>VLOOKUP(appointments7[[#This Row],[Doctor_ID]],Doctors!$A:$H,7,FALSE)</f>
        <v>Central Hospital</v>
      </c>
      <c r="O5" s="52">
        <v>45170</v>
      </c>
      <c r="P5" s="53">
        <v>0.38541666666666674</v>
      </c>
      <c r="Q5" s="51" t="s">
        <v>18</v>
      </c>
      <c r="R5" s="51" t="s">
        <v>19</v>
      </c>
      <c r="S5" s="51" t="str">
        <f>VLOOKUP(appointments7[[#This Row],[Appointment_ID]],Treatments!$A:$F,2,FALSE)</f>
        <v>T004</v>
      </c>
      <c r="T5" s="51" t="str">
        <f>VLOOKUP(appointments7[[#This Row],[Appointment_ID]],Treatments!$A:$F,3,FALSE)</f>
        <v>MRI</v>
      </c>
      <c r="U5" s="54">
        <f>VLOOKUP(treatments[[#This Row],[appointment_id]],Treatments!$A:$F,5,FALSE)</f>
        <v>4799.8599999999997</v>
      </c>
      <c r="V5" s="52">
        <f>VLOOKUP(appointments7[[#This Row],[Appointment_ID]],Treatments!$A:$F,6,FALSE)</f>
        <v>45170</v>
      </c>
      <c r="W5" s="52" t="str">
        <f>VLOOKUP(appointments7[[#This Row],[Patient_ID]],Billing!$A:$G,2,FALSE)</f>
        <v>B004</v>
      </c>
      <c r="X5" s="52">
        <f>VLOOKUP(appointments7[[#This Row],[Patient_ID]],Billing!$A:$H,4,FALSE)</f>
        <v>45170</v>
      </c>
      <c r="Y5" s="54">
        <f>VLOOKUP(appointments7[[#This Row],[Patient_ID]],Billing!$A:$G,5,FALSE)</f>
        <v>4799.8599999999997</v>
      </c>
      <c r="Z5" s="54" t="str">
        <f>VLOOKUP(appointments7[[#This Row],[Patient_ID]],Billing!$A:$G,6,FALSE)</f>
        <v>Insurance</v>
      </c>
      <c r="AA5" s="52" t="str">
        <f>VLOOKUP(appointments7[[#This Row],[Patient_ID]],Billing!$A:$G,7,FALSE)</f>
        <v>Failed</v>
      </c>
      <c r="AB5" s="2"/>
      <c r="AC5" s="2"/>
    </row>
    <row r="6" spans="1:29" x14ac:dyDescent="0.4">
      <c r="A6" s="51" t="s">
        <v>23</v>
      </c>
      <c r="B6" s="51" t="s">
        <v>24</v>
      </c>
      <c r="C6" s="51" t="s">
        <v>874</v>
      </c>
      <c r="D6" s="51" t="str">
        <f>VLOOKUP(appointments7[[#This Row],[Patient_ID]],Patients!$A:$K,4,FALSE)</f>
        <v>M</v>
      </c>
      <c r="E6" s="52">
        <f>VLOOKUP(appointments7[[#This Row],[Patient_ID]],Patients!$A:$K,5,FALSE)</f>
        <v>26449</v>
      </c>
      <c r="F6" s="51">
        <f>VLOOKUP(appointments7[[#This Row],[Patient_ID]],Patients!$A:$K,6,FALSE)</f>
        <v>7587653815</v>
      </c>
      <c r="G6" s="51" t="str">
        <f>VLOOKUP(appointments7[[#This Row],[Patient_ID]],Patients!$A:$K,7,FALSE)</f>
        <v>456 Oak Ave</v>
      </c>
      <c r="H6" s="52">
        <f>VLOOKUP(appointments7[[#This Row],[Patient_ID]],Patients!$A:$K,8,FALSE)</f>
        <v>44485</v>
      </c>
      <c r="I6" s="51" t="str">
        <f>VLOOKUP(appointments7[[#This Row],[Patient_ID]],Patients!$A:$K,11,FALSE)</f>
        <v>emily.williams@mail.com</v>
      </c>
      <c r="J6" s="51" t="s">
        <v>25</v>
      </c>
      <c r="K6" s="51" t="s">
        <v>906</v>
      </c>
      <c r="L6" s="51" t="str">
        <f>VLOOKUP(appointments7[[#This Row],[Doctor_ID]],Doctors!$A:$H,4,FALSE)</f>
        <v>Pediatrics</v>
      </c>
      <c r="M6" s="51">
        <f>VLOOKUP(appointments7[[#This Row],[Doctor_ID]],Doctors!$A:$H,5,FALSE)</f>
        <v>8737740598</v>
      </c>
      <c r="N6" s="51" t="str">
        <f>VLOOKUP(appointments7[[#This Row],[Doctor_ID]],Doctors!$A:$H,7,FALSE)</f>
        <v>Eastside Clinic</v>
      </c>
      <c r="O6" s="52">
        <v>45113</v>
      </c>
      <c r="P6" s="53">
        <v>0.53125</v>
      </c>
      <c r="Q6" s="51" t="s">
        <v>26</v>
      </c>
      <c r="R6" s="51" t="s">
        <v>15</v>
      </c>
      <c r="S6" s="51" t="str">
        <f>VLOOKUP(appointments7[[#This Row],[Appointment_ID]],Treatments!$A:$F,2,FALSE)</f>
        <v>T005</v>
      </c>
      <c r="T6" s="51" t="str">
        <f>VLOOKUP(appointments7[[#This Row],[Appointment_ID]],Treatments!$A:$F,3,FALSE)</f>
        <v>ECG</v>
      </c>
      <c r="U6" s="54">
        <f>VLOOKUP(treatments[[#This Row],[appointment_id]],Treatments!$A:$F,5,FALSE)</f>
        <v>582.04999999999995</v>
      </c>
      <c r="V6" s="52">
        <f>VLOOKUP(appointments7[[#This Row],[Appointment_ID]],Treatments!$A:$F,6,FALSE)</f>
        <v>45113</v>
      </c>
      <c r="W6" s="52" t="str">
        <f>VLOOKUP(appointments7[[#This Row],[Patient_ID]],Billing!$A:$G,2,FALSE)</f>
        <v>B005</v>
      </c>
      <c r="X6" s="52">
        <f>VLOOKUP(appointments7[[#This Row],[Patient_ID]],Billing!$A:$H,4,FALSE)</f>
        <v>45113</v>
      </c>
      <c r="Y6" s="54">
        <f>VLOOKUP(appointments7[[#This Row],[Patient_ID]],Billing!$A:$G,5,FALSE)</f>
        <v>582.04999999999995</v>
      </c>
      <c r="Z6" s="54" t="str">
        <f>VLOOKUP(appointments7[[#This Row],[Patient_ID]],Billing!$A:$G,6,FALSE)</f>
        <v>Credit Card</v>
      </c>
      <c r="AA6" s="52" t="str">
        <f>VLOOKUP(appointments7[[#This Row],[Patient_ID]],Billing!$A:$G,7,FALSE)</f>
        <v>Pending</v>
      </c>
      <c r="AB6" s="2"/>
      <c r="AC6" s="2"/>
    </row>
    <row r="7" spans="1:29" x14ac:dyDescent="0.4">
      <c r="A7" s="51" t="s">
        <v>27</v>
      </c>
      <c r="B7" s="51" t="s">
        <v>28</v>
      </c>
      <c r="C7" s="51" t="s">
        <v>875</v>
      </c>
      <c r="D7" s="51" t="str">
        <f>VLOOKUP(appointments7[[#This Row],[Patient_ID]],Patients!$A:$K,4,FALSE)</f>
        <v>F</v>
      </c>
      <c r="E7" s="52">
        <f>VLOOKUP(appointments7[[#This Row],[Patient_ID]],Patients!$A:$K,5,FALSE)</f>
        <v>24222</v>
      </c>
      <c r="F7" s="51">
        <f>VLOOKUP(appointments7[[#This Row],[Patient_ID]],Patients!$A:$K,6,FALSE)</f>
        <v>7579616535</v>
      </c>
      <c r="G7" s="51" t="str">
        <f>VLOOKUP(appointments7[[#This Row],[Patient_ID]],Patients!$A:$K,7,FALSE)</f>
        <v>321 Maple Dr</v>
      </c>
      <c r="H7" s="52">
        <f>VLOOKUP(appointments7[[#This Row],[Patient_ID]],Patients!$A:$K,8,FALSE)</f>
        <v>44219</v>
      </c>
      <c r="I7" s="51" t="str">
        <f>VLOOKUP(appointments7[[#This Row],[Patient_ID]],Patients!$A:$K,11,FALSE)</f>
        <v>linda.miller@mail.com</v>
      </c>
      <c r="J7" s="51" t="s">
        <v>22</v>
      </c>
      <c r="K7" s="51" t="s">
        <v>910</v>
      </c>
      <c r="L7" s="51" t="str">
        <f>VLOOKUP(appointments7[[#This Row],[Doctor_ID]],Doctors!$A:$H,4,FALSE)</f>
        <v>Pediatrics</v>
      </c>
      <c r="M7" s="51">
        <f>VLOOKUP(appointments7[[#This Row],[Doctor_ID]],Doctors!$A:$H,5,FALSE)</f>
        <v>6570137231</v>
      </c>
      <c r="N7" s="51" t="str">
        <f>VLOOKUP(appointments7[[#This Row],[Doctor_ID]],Doctors!$A:$H,7,FALSE)</f>
        <v>Central Hospital</v>
      </c>
      <c r="O7" s="52">
        <v>45096</v>
      </c>
      <c r="P7" s="53">
        <v>0.67708333333333326</v>
      </c>
      <c r="Q7" s="51" t="s">
        <v>29</v>
      </c>
      <c r="R7" s="51" t="s">
        <v>11</v>
      </c>
      <c r="S7" s="51" t="str">
        <f>VLOOKUP(appointments7[[#This Row],[Appointment_ID]],Treatments!$A:$F,2,FALSE)</f>
        <v>T006</v>
      </c>
      <c r="T7" s="51" t="str">
        <f>VLOOKUP(appointments7[[#This Row],[Appointment_ID]],Treatments!$A:$F,3,FALSE)</f>
        <v>Chemotherapy</v>
      </c>
      <c r="U7" s="54">
        <f>VLOOKUP(treatments[[#This Row],[appointment_id]],Treatments!$A:$F,5,FALSE)</f>
        <v>1381</v>
      </c>
      <c r="V7" s="52">
        <f>VLOOKUP(appointments7[[#This Row],[Appointment_ID]],Treatments!$A:$F,6,FALSE)</f>
        <v>45096</v>
      </c>
      <c r="W7" s="52" t="str">
        <f>VLOOKUP(appointments7[[#This Row],[Patient_ID]],Billing!$A:$G,2,FALSE)</f>
        <v>B006</v>
      </c>
      <c r="X7" s="52">
        <f>VLOOKUP(appointments7[[#This Row],[Patient_ID]],Billing!$A:$H,4,FALSE)</f>
        <v>45096</v>
      </c>
      <c r="Y7" s="54">
        <f>VLOOKUP(appointments7[[#This Row],[Patient_ID]],Billing!$A:$G,5,FALSE)</f>
        <v>1381</v>
      </c>
      <c r="Z7" s="54" t="str">
        <f>VLOOKUP(appointments7[[#This Row],[Patient_ID]],Billing!$A:$G,6,FALSE)</f>
        <v>Insurance</v>
      </c>
      <c r="AA7" s="52" t="str">
        <f>VLOOKUP(appointments7[[#This Row],[Patient_ID]],Billing!$A:$G,7,FALSE)</f>
        <v>Pending</v>
      </c>
      <c r="AB7" s="2"/>
      <c r="AC7" s="2"/>
    </row>
    <row r="8" spans="1:29" x14ac:dyDescent="0.4">
      <c r="A8" s="51" t="s">
        <v>30</v>
      </c>
      <c r="B8" s="51" t="s">
        <v>31</v>
      </c>
      <c r="C8" s="51" t="s">
        <v>876</v>
      </c>
      <c r="D8" s="51" t="str">
        <f>VLOOKUP(appointments7[[#This Row],[Patient_ID]],Patients!$A:$K,4,FALSE)</f>
        <v>F</v>
      </c>
      <c r="E8" s="52">
        <f>VLOOKUP(appointments7[[#This Row],[Patient_ID]],Patients!$A:$K,5,FALSE)</f>
        <v>20244</v>
      </c>
      <c r="F8" s="51">
        <f>VLOOKUP(appointments7[[#This Row],[Patient_ID]],Patients!$A:$K,6,FALSE)</f>
        <v>6939585183</v>
      </c>
      <c r="G8" s="51" t="str">
        <f>VLOOKUP(appointments7[[#This Row],[Patient_ID]],Patients!$A:$K,7,FALSE)</f>
        <v>789 Pine Rd</v>
      </c>
      <c r="H8" s="52">
        <f>VLOOKUP(appointments7[[#This Row],[Patient_ID]],Patients!$A:$K,8,FALSE)</f>
        <v>44735</v>
      </c>
      <c r="I8" s="51" t="str">
        <f>VLOOKUP(appointments7[[#This Row],[Patient_ID]],Patients!$A:$K,11,FALSE)</f>
        <v>david.williams@mail.com</v>
      </c>
      <c r="J8" s="51" t="s">
        <v>32</v>
      </c>
      <c r="K8" s="51" t="s">
        <v>911</v>
      </c>
      <c r="L8" s="51" t="str">
        <f>VLOOKUP(appointments7[[#This Row],[Doctor_ID]],Doctors!$A:$H,4,FALSE)</f>
        <v>Oncology</v>
      </c>
      <c r="M8" s="51">
        <f>VLOOKUP(appointments7[[#This Row],[Doctor_ID]],Doctors!$A:$H,5,FALSE)</f>
        <v>8217493115</v>
      </c>
      <c r="N8" s="51" t="str">
        <f>VLOOKUP(appointments7[[#This Row],[Doctor_ID]],Doctors!$A:$H,7,FALSE)</f>
        <v>Westside Clinic</v>
      </c>
      <c r="O8" s="52">
        <v>45025</v>
      </c>
      <c r="P8" s="53">
        <v>0.4375</v>
      </c>
      <c r="Q8" s="51" t="s">
        <v>18</v>
      </c>
      <c r="R8" s="51" t="s">
        <v>11</v>
      </c>
      <c r="S8" s="51" t="str">
        <f>VLOOKUP(appointments7[[#This Row],[Appointment_ID]],Treatments!$A:$F,2,FALSE)</f>
        <v>T007</v>
      </c>
      <c r="T8" s="51" t="str">
        <f>VLOOKUP(appointments7[[#This Row],[Appointment_ID]],Treatments!$A:$F,3,FALSE)</f>
        <v>Chemotherapy</v>
      </c>
      <c r="U8" s="54">
        <f>VLOOKUP(treatments[[#This Row],[appointment_id]],Treatments!$A:$F,5,FALSE)</f>
        <v>534.03</v>
      </c>
      <c r="V8" s="52">
        <f>VLOOKUP(appointments7[[#This Row],[Appointment_ID]],Treatments!$A:$F,6,FALSE)</f>
        <v>45025</v>
      </c>
      <c r="W8" s="52" t="str">
        <f>VLOOKUP(appointments7[[#This Row],[Patient_ID]],Billing!$A:$G,2,FALSE)</f>
        <v>B007</v>
      </c>
      <c r="X8" s="52">
        <f>VLOOKUP(appointments7[[#This Row],[Patient_ID]],Billing!$A:$H,4,FALSE)</f>
        <v>45025</v>
      </c>
      <c r="Y8" s="54">
        <f>VLOOKUP(appointments7[[#This Row],[Patient_ID]],Billing!$A:$G,5,FALSE)</f>
        <v>534.03</v>
      </c>
      <c r="Z8" s="54" t="str">
        <f>VLOOKUP(appointments7[[#This Row],[Patient_ID]],Billing!$A:$G,6,FALSE)</f>
        <v>Cash</v>
      </c>
      <c r="AA8" s="52" t="str">
        <f>VLOOKUP(appointments7[[#This Row],[Patient_ID]],Billing!$A:$G,7,FALSE)</f>
        <v>Failed</v>
      </c>
      <c r="AB8" s="2"/>
      <c r="AC8" s="2"/>
    </row>
    <row r="9" spans="1:29" x14ac:dyDescent="0.4">
      <c r="A9" s="51" t="s">
        <v>33</v>
      </c>
      <c r="B9" s="51" t="s">
        <v>34</v>
      </c>
      <c r="C9" s="51" t="s">
        <v>877</v>
      </c>
      <c r="D9" s="51" t="str">
        <f>VLOOKUP(appointments7[[#This Row],[Patient_ID]],Patients!$A:$K,4,FALSE)</f>
        <v>M</v>
      </c>
      <c r="E9" s="52">
        <f>VLOOKUP(appointments7[[#This Row],[Patient_ID]],Patients!$A:$K,5,FALSE)</f>
        <v>36729</v>
      </c>
      <c r="F9" s="51">
        <f>VLOOKUP(appointments7[[#This Row],[Patient_ID]],Patients!$A:$K,6,FALSE)</f>
        <v>7223380592</v>
      </c>
      <c r="G9" s="51" t="str">
        <f>VLOOKUP(appointments7[[#This Row],[Patient_ID]],Patients!$A:$K,7,FALSE)</f>
        <v>789 Pine Rd</v>
      </c>
      <c r="H9" s="52">
        <f>VLOOKUP(appointments7[[#This Row],[Patient_ID]],Patients!$A:$K,8,FALSE)</f>
        <v>44400</v>
      </c>
      <c r="I9" s="51" t="str">
        <f>VLOOKUP(appointments7[[#This Row],[Patient_ID]],Patients!$A:$K,11,FALSE)</f>
        <v>michael.taylor@mail.com</v>
      </c>
      <c r="J9" s="51" t="s">
        <v>35</v>
      </c>
      <c r="K9" s="51" t="s">
        <v>912</v>
      </c>
      <c r="L9" s="51" t="str">
        <f>VLOOKUP(appointments7[[#This Row],[Doctor_ID]],Doctors!$A:$H,4,FALSE)</f>
        <v>Oncology</v>
      </c>
      <c r="M9" s="51">
        <f>VLOOKUP(appointments7[[#This Row],[Doctor_ID]],Doctors!$A:$H,5,FALSE)</f>
        <v>6176383634</v>
      </c>
      <c r="N9" s="51" t="str">
        <f>VLOOKUP(appointments7[[#This Row],[Doctor_ID]],Doctors!$A:$H,7,FALSE)</f>
        <v>Eastside Clinic</v>
      </c>
      <c r="O9" s="52">
        <v>45070</v>
      </c>
      <c r="P9" s="53">
        <v>0.36458333333333326</v>
      </c>
      <c r="Q9" s="51" t="s">
        <v>18</v>
      </c>
      <c r="R9" s="51" t="s">
        <v>19</v>
      </c>
      <c r="S9" s="51" t="str">
        <f>VLOOKUP(appointments7[[#This Row],[Appointment_ID]],Treatments!$A:$F,2,FALSE)</f>
        <v>T008</v>
      </c>
      <c r="T9" s="51" t="str">
        <f>VLOOKUP(appointments7[[#This Row],[Appointment_ID]],Treatments!$A:$F,3,FALSE)</f>
        <v>Physiotherapy</v>
      </c>
      <c r="U9" s="54">
        <f>VLOOKUP(treatments[[#This Row],[appointment_id]],Treatments!$A:$F,5,FALSE)</f>
        <v>3413.64</v>
      </c>
      <c r="V9" s="52">
        <f>VLOOKUP(appointments7[[#This Row],[Appointment_ID]],Treatments!$A:$F,6,FALSE)</f>
        <v>45070</v>
      </c>
      <c r="W9" s="52" t="str">
        <f>VLOOKUP(appointments7[[#This Row],[Patient_ID]],Billing!$A:$G,2,FALSE)</f>
        <v>B008</v>
      </c>
      <c r="X9" s="52">
        <f>VLOOKUP(appointments7[[#This Row],[Patient_ID]],Billing!$A:$H,4,FALSE)</f>
        <v>45070</v>
      </c>
      <c r="Y9" s="54">
        <f>VLOOKUP(appointments7[[#This Row],[Patient_ID]],Billing!$A:$G,5,FALSE)</f>
        <v>3413.64</v>
      </c>
      <c r="Z9" s="54" t="str">
        <f>VLOOKUP(appointments7[[#This Row],[Patient_ID]],Billing!$A:$G,6,FALSE)</f>
        <v>Cash</v>
      </c>
      <c r="AA9" s="52" t="str">
        <f>VLOOKUP(appointments7[[#This Row],[Patient_ID]],Billing!$A:$G,7,FALSE)</f>
        <v>Failed</v>
      </c>
      <c r="AB9" s="2"/>
      <c r="AC9" s="2"/>
    </row>
    <row r="10" spans="1:29" x14ac:dyDescent="0.4">
      <c r="A10" s="51" t="s">
        <v>36</v>
      </c>
      <c r="B10" s="51" t="s">
        <v>37</v>
      </c>
      <c r="C10" s="51" t="s">
        <v>878</v>
      </c>
      <c r="D10" s="51" t="str">
        <f>VLOOKUP(appointments7[[#This Row],[Patient_ID]],Patients!$A:$K,4,FALSE)</f>
        <v>F</v>
      </c>
      <c r="E10" s="52">
        <f>VLOOKUP(appointments7[[#This Row],[Patient_ID]],Patients!$A:$K,5,FALSE)</f>
        <v>18609</v>
      </c>
      <c r="F10" s="51">
        <f>VLOOKUP(appointments7[[#This Row],[Patient_ID]],Patients!$A:$K,6,FALSE)</f>
        <v>9271131338</v>
      </c>
      <c r="G10" s="51" t="str">
        <f>VLOOKUP(appointments7[[#This Row],[Patient_ID]],Patients!$A:$K,7,FALSE)</f>
        <v>789 Pine Rd</v>
      </c>
      <c r="H10" s="52">
        <f>VLOOKUP(appointments7[[#This Row],[Patient_ID]],Patients!$A:$K,8,FALSE)</f>
        <v>44264</v>
      </c>
      <c r="I10" s="51" t="str">
        <f>VLOOKUP(appointments7[[#This Row],[Patient_ID]],Patients!$A:$K,11,FALSE)</f>
        <v>jane.wilson@mail.com</v>
      </c>
      <c r="J10" s="51" t="s">
        <v>35</v>
      </c>
      <c r="K10" s="51" t="s">
        <v>912</v>
      </c>
      <c r="L10" s="51" t="str">
        <f>VLOOKUP(appointments7[[#This Row],[Doctor_ID]],Doctors!$A:$H,4,FALSE)</f>
        <v>Oncology</v>
      </c>
      <c r="M10" s="51">
        <f>VLOOKUP(appointments7[[#This Row],[Doctor_ID]],Doctors!$A:$H,5,FALSE)</f>
        <v>6176383634</v>
      </c>
      <c r="N10" s="51" t="str">
        <f>VLOOKUP(appointments7[[#This Row],[Doctor_ID]],Doctors!$A:$H,7,FALSE)</f>
        <v>Eastside Clinic</v>
      </c>
      <c r="O10" s="52">
        <v>44990</v>
      </c>
      <c r="P10" s="53">
        <v>0.57291666666666674</v>
      </c>
      <c r="Q10" s="51" t="s">
        <v>38</v>
      </c>
      <c r="R10" s="51" t="s">
        <v>11</v>
      </c>
      <c r="S10" s="51" t="str">
        <f>VLOOKUP(appointments7[[#This Row],[Appointment_ID]],Treatments!$A:$F,2,FALSE)</f>
        <v>T009</v>
      </c>
      <c r="T10" s="51" t="str">
        <f>VLOOKUP(appointments7[[#This Row],[Appointment_ID]],Treatments!$A:$F,3,FALSE)</f>
        <v>Physiotherapy</v>
      </c>
      <c r="U10" s="54">
        <f>VLOOKUP(treatments[[#This Row],[appointment_id]],Treatments!$A:$F,5,FALSE)</f>
        <v>4541.1400000000003</v>
      </c>
      <c r="V10" s="52">
        <f>VLOOKUP(appointments7[[#This Row],[Appointment_ID]],Treatments!$A:$F,6,FALSE)</f>
        <v>44990</v>
      </c>
      <c r="W10" s="52" t="str">
        <f>VLOOKUP(appointments7[[#This Row],[Patient_ID]],Billing!$A:$G,2,FALSE)</f>
        <v>B009</v>
      </c>
      <c r="X10" s="52">
        <f>VLOOKUP(appointments7[[#This Row],[Patient_ID]],Billing!$A:$H,4,FALSE)</f>
        <v>44990</v>
      </c>
      <c r="Y10" s="54">
        <f>VLOOKUP(appointments7[[#This Row],[Patient_ID]],Billing!$A:$G,5,FALSE)</f>
        <v>4541.1400000000003</v>
      </c>
      <c r="Z10" s="54" t="str">
        <f>VLOOKUP(appointments7[[#This Row],[Patient_ID]],Billing!$A:$G,6,FALSE)</f>
        <v>Credit Card</v>
      </c>
      <c r="AA10" s="52" t="str">
        <f>VLOOKUP(appointments7[[#This Row],[Patient_ID]],Billing!$A:$G,7,FALSE)</f>
        <v>Paid</v>
      </c>
      <c r="AB10" s="2"/>
      <c r="AC10" s="2"/>
    </row>
    <row r="11" spans="1:29" x14ac:dyDescent="0.4">
      <c r="A11" s="51" t="s">
        <v>39</v>
      </c>
      <c r="B11" s="51" t="s">
        <v>40</v>
      </c>
      <c r="C11" s="51" t="s">
        <v>879</v>
      </c>
      <c r="D11" s="51" t="str">
        <f>VLOOKUP(appointments7[[#This Row],[Patient_ID]],Patients!$A:$K,4,FALSE)</f>
        <v>M</v>
      </c>
      <c r="E11" s="52">
        <f>VLOOKUP(appointments7[[#This Row],[Patient_ID]],Patients!$A:$K,5,FALSE)</f>
        <v>22090</v>
      </c>
      <c r="F11" s="51">
        <f>VLOOKUP(appointments7[[#This Row],[Patient_ID]],Patients!$A:$K,6,FALSE)</f>
        <v>7734463155</v>
      </c>
      <c r="G11" s="51" t="str">
        <f>VLOOKUP(appointments7[[#This Row],[Patient_ID]],Patients!$A:$K,7,FALSE)</f>
        <v>123 Elm St</v>
      </c>
      <c r="H11" s="52">
        <f>VLOOKUP(appointments7[[#This Row],[Patient_ID]],Patients!$A:$K,8,FALSE)</f>
        <v>44468</v>
      </c>
      <c r="I11" s="51" t="str">
        <f>VLOOKUP(appointments7[[#This Row],[Patient_ID]],Patients!$A:$K,11,FALSE)</f>
        <v>david.wilson@mail.com</v>
      </c>
      <c r="J11" s="51" t="s">
        <v>25</v>
      </c>
      <c r="K11" s="51" t="s">
        <v>906</v>
      </c>
      <c r="L11" s="51" t="str">
        <f>VLOOKUP(appointments7[[#This Row],[Doctor_ID]],Doctors!$A:$H,4,FALSE)</f>
        <v>Pediatrics</v>
      </c>
      <c r="M11" s="51">
        <f>VLOOKUP(appointments7[[#This Row],[Doctor_ID]],Doctors!$A:$H,5,FALSE)</f>
        <v>8737740598</v>
      </c>
      <c r="N11" s="51" t="str">
        <f>VLOOKUP(appointments7[[#This Row],[Doctor_ID]],Doctors!$A:$H,7,FALSE)</f>
        <v>Eastside Clinic</v>
      </c>
      <c r="O11" s="52">
        <v>44939</v>
      </c>
      <c r="P11" s="53">
        <v>0.64583333333333326</v>
      </c>
      <c r="Q11" s="51" t="s">
        <v>10</v>
      </c>
      <c r="R11" s="51" t="s">
        <v>41</v>
      </c>
      <c r="S11" s="51" t="str">
        <f>VLOOKUP(appointments7[[#This Row],[Appointment_ID]],Treatments!$A:$F,2,FALSE)</f>
        <v>T010</v>
      </c>
      <c r="T11" s="51" t="str">
        <f>VLOOKUP(appointments7[[#This Row],[Appointment_ID]],Treatments!$A:$F,3,FALSE)</f>
        <v>Physiotherapy</v>
      </c>
      <c r="U11" s="54">
        <f>VLOOKUP(treatments[[#This Row],[appointment_id]],Treatments!$A:$F,5,FALSE)</f>
        <v>1595.67</v>
      </c>
      <c r="V11" s="52">
        <f>VLOOKUP(appointments7[[#This Row],[Appointment_ID]],Treatments!$A:$F,6,FALSE)</f>
        <v>44939</v>
      </c>
      <c r="W11" s="52" t="str">
        <f>VLOOKUP(appointments7[[#This Row],[Patient_ID]],Billing!$A:$G,2,FALSE)</f>
        <v>B010</v>
      </c>
      <c r="X11" s="52">
        <f>VLOOKUP(appointments7[[#This Row],[Patient_ID]],Billing!$A:$H,4,FALSE)</f>
        <v>44939</v>
      </c>
      <c r="Y11" s="54">
        <f>VLOOKUP(appointments7[[#This Row],[Patient_ID]],Billing!$A:$G,5,FALSE)</f>
        <v>1595.67</v>
      </c>
      <c r="Z11" s="54" t="str">
        <f>VLOOKUP(appointments7[[#This Row],[Patient_ID]],Billing!$A:$G,6,FALSE)</f>
        <v>Cash</v>
      </c>
      <c r="AA11" s="52" t="str">
        <f>VLOOKUP(appointments7[[#This Row],[Patient_ID]],Billing!$A:$G,7,FALSE)</f>
        <v>Paid</v>
      </c>
      <c r="AB11" s="2"/>
      <c r="AC11" s="2"/>
    </row>
    <row r="12" spans="1:29" x14ac:dyDescent="0.4">
      <c r="A12" s="51" t="s">
        <v>42</v>
      </c>
      <c r="B12" s="51" t="s">
        <v>43</v>
      </c>
      <c r="C12" s="51" t="s">
        <v>880</v>
      </c>
      <c r="D12" s="51" t="str">
        <f>VLOOKUP(appointments7[[#This Row],[Patient_ID]],Patients!$A:$K,4,FALSE)</f>
        <v>M</v>
      </c>
      <c r="E12" s="52">
        <f>VLOOKUP(appointments7[[#This Row],[Patient_ID]],Patients!$A:$K,5,FALSE)</f>
        <v>20219</v>
      </c>
      <c r="F12" s="51">
        <f>VLOOKUP(appointments7[[#This Row],[Patient_ID]],Patients!$A:$K,6,FALSE)</f>
        <v>6221099573</v>
      </c>
      <c r="G12" s="51" t="str">
        <f>VLOOKUP(appointments7[[#This Row],[Patient_ID]],Patients!$A:$K,7,FALSE)</f>
        <v>321 Maple Dr</v>
      </c>
      <c r="H12" s="52">
        <f>VLOOKUP(appointments7[[#This Row],[Patient_ID]],Patients!$A:$K,8,FALSE)</f>
        <v>44327</v>
      </c>
      <c r="I12" s="51" t="str">
        <f>VLOOKUP(appointments7[[#This Row],[Patient_ID]],Patients!$A:$K,11,FALSE)</f>
        <v>john.brown@mail.com</v>
      </c>
      <c r="J12" s="51" t="s">
        <v>32</v>
      </c>
      <c r="K12" s="51" t="s">
        <v>911</v>
      </c>
      <c r="L12" s="51" t="str">
        <f>VLOOKUP(appointments7[[#This Row],[Doctor_ID]],Doctors!$A:$H,4,FALSE)</f>
        <v>Oncology</v>
      </c>
      <c r="M12" s="51">
        <f>VLOOKUP(appointments7[[#This Row],[Doctor_ID]],Doctors!$A:$H,5,FALSE)</f>
        <v>8217493115</v>
      </c>
      <c r="N12" s="51" t="str">
        <f>VLOOKUP(appointments7[[#This Row],[Doctor_ID]],Doctors!$A:$H,7,FALSE)</f>
        <v>Westside Clinic</v>
      </c>
      <c r="O12" s="52">
        <v>45242</v>
      </c>
      <c r="P12" s="53">
        <v>0.66666666666666674</v>
      </c>
      <c r="Q12" s="51" t="s">
        <v>29</v>
      </c>
      <c r="R12" s="51" t="s">
        <v>15</v>
      </c>
      <c r="S12" s="51" t="str">
        <f>VLOOKUP(appointments7[[#This Row],[Appointment_ID]],Treatments!$A:$F,2,FALSE)</f>
        <v>T011</v>
      </c>
      <c r="T12" s="51" t="str">
        <f>VLOOKUP(appointments7[[#This Row],[Appointment_ID]],Treatments!$A:$F,3,FALSE)</f>
        <v>MRI</v>
      </c>
      <c r="U12" s="54">
        <f>VLOOKUP(treatments[[#This Row],[appointment_id]],Treatments!$A:$F,5,FALSE)</f>
        <v>4671.66</v>
      </c>
      <c r="V12" s="52">
        <f>VLOOKUP(appointments7[[#This Row],[Appointment_ID]],Treatments!$A:$F,6,FALSE)</f>
        <v>45242</v>
      </c>
      <c r="W12" s="52" t="str">
        <f>VLOOKUP(appointments7[[#This Row],[Patient_ID]],Billing!$A:$G,2,FALSE)</f>
        <v>B011</v>
      </c>
      <c r="X12" s="52">
        <f>VLOOKUP(appointments7[[#This Row],[Patient_ID]],Billing!$A:$H,4,FALSE)</f>
        <v>45242</v>
      </c>
      <c r="Y12" s="54">
        <f>VLOOKUP(appointments7[[#This Row],[Patient_ID]],Billing!$A:$G,5,FALSE)</f>
        <v>4671.66</v>
      </c>
      <c r="Z12" s="54" t="str">
        <f>VLOOKUP(appointments7[[#This Row],[Patient_ID]],Billing!$A:$G,6,FALSE)</f>
        <v>Cash</v>
      </c>
      <c r="AA12" s="52" t="str">
        <f>VLOOKUP(appointments7[[#This Row],[Patient_ID]],Billing!$A:$G,7,FALSE)</f>
        <v>Failed</v>
      </c>
      <c r="AB12" s="2"/>
      <c r="AC12" s="2"/>
    </row>
    <row r="13" spans="1:29" x14ac:dyDescent="0.4">
      <c r="A13" s="51" t="s">
        <v>44</v>
      </c>
      <c r="B13" s="51" t="s">
        <v>45</v>
      </c>
      <c r="C13" s="51" t="s">
        <v>881</v>
      </c>
      <c r="D13" s="51" t="str">
        <f>VLOOKUP(appointments7[[#This Row],[Patient_ID]],Patients!$A:$K,4,FALSE)</f>
        <v>M</v>
      </c>
      <c r="E13" s="52">
        <f>VLOOKUP(appointments7[[#This Row],[Patient_ID]],Patients!$A:$K,5,FALSE)</f>
        <v>38487</v>
      </c>
      <c r="F13" s="51">
        <f>VLOOKUP(appointments7[[#This Row],[Patient_ID]],Patients!$A:$K,6,FALSE)</f>
        <v>8923607677</v>
      </c>
      <c r="G13" s="51" t="str">
        <f>VLOOKUP(appointments7[[#This Row],[Patient_ID]],Patients!$A:$K,7,FALSE)</f>
        <v>789 Pine Rd</v>
      </c>
      <c r="H13" s="52">
        <f>VLOOKUP(appointments7[[#This Row],[Patient_ID]],Patients!$A:$K,8,FALSE)</f>
        <v>45035</v>
      </c>
      <c r="I13" s="51" t="str">
        <f>VLOOKUP(appointments7[[#This Row],[Patient_ID]],Patients!$A:$K,11,FALSE)</f>
        <v>david.smith@mail.com</v>
      </c>
      <c r="J13" s="51" t="s">
        <v>25</v>
      </c>
      <c r="K13" s="51" t="s">
        <v>906</v>
      </c>
      <c r="L13" s="51" t="str">
        <f>VLOOKUP(appointments7[[#This Row],[Doctor_ID]],Doctors!$A:$H,4,FALSE)</f>
        <v>Pediatrics</v>
      </c>
      <c r="M13" s="51">
        <f>VLOOKUP(appointments7[[#This Row],[Doctor_ID]],Doctors!$A:$H,5,FALSE)</f>
        <v>8737740598</v>
      </c>
      <c r="N13" s="51" t="str">
        <f>VLOOKUP(appointments7[[#This Row],[Doctor_ID]],Doctors!$A:$H,7,FALSE)</f>
        <v>Eastside Clinic</v>
      </c>
      <c r="O13" s="52">
        <v>45053</v>
      </c>
      <c r="P13" s="53">
        <v>0.41666666666666674</v>
      </c>
      <c r="Q13" s="51" t="s">
        <v>38</v>
      </c>
      <c r="R13" s="51" t="s">
        <v>41</v>
      </c>
      <c r="S13" s="51" t="str">
        <f>VLOOKUP(appointments7[[#This Row],[Appointment_ID]],Treatments!$A:$F,2,FALSE)</f>
        <v>T012</v>
      </c>
      <c r="T13" s="51" t="str">
        <f>VLOOKUP(appointments7[[#This Row],[Appointment_ID]],Treatments!$A:$F,3,FALSE)</f>
        <v>Chemotherapy</v>
      </c>
      <c r="U13" s="54">
        <f>VLOOKUP(treatments[[#This Row],[appointment_id]],Treatments!$A:$F,5,FALSE)</f>
        <v>771.2</v>
      </c>
      <c r="V13" s="52">
        <f>VLOOKUP(appointments7[[#This Row],[Appointment_ID]],Treatments!$A:$F,6,FALSE)</f>
        <v>45053</v>
      </c>
      <c r="W13" s="52" t="str">
        <f>VLOOKUP(appointments7[[#This Row],[Patient_ID]],Billing!$A:$G,2,FALSE)</f>
        <v>B012</v>
      </c>
      <c r="X13" s="52">
        <f>VLOOKUP(appointments7[[#This Row],[Patient_ID]],Billing!$A:$H,4,FALSE)</f>
        <v>45053</v>
      </c>
      <c r="Y13" s="54">
        <f>VLOOKUP(appointments7[[#This Row],[Patient_ID]],Billing!$A:$G,5,FALSE)</f>
        <v>771.2</v>
      </c>
      <c r="Z13" s="54" t="str">
        <f>VLOOKUP(appointments7[[#This Row],[Patient_ID]],Billing!$A:$G,6,FALSE)</f>
        <v>Insurance</v>
      </c>
      <c r="AA13" s="52" t="str">
        <f>VLOOKUP(appointments7[[#This Row],[Patient_ID]],Billing!$A:$G,7,FALSE)</f>
        <v>Pending</v>
      </c>
      <c r="AB13" s="2"/>
      <c r="AC13" s="2"/>
    </row>
    <row r="14" spans="1:29" x14ac:dyDescent="0.4">
      <c r="A14" s="51" t="s">
        <v>46</v>
      </c>
      <c r="B14" s="51" t="s">
        <v>47</v>
      </c>
      <c r="C14" s="51" t="s">
        <v>882</v>
      </c>
      <c r="D14" s="51" t="str">
        <f>VLOOKUP(appointments7[[#This Row],[Patient_ID]],Patients!$A:$K,4,FALSE)</f>
        <v>M</v>
      </c>
      <c r="E14" s="52">
        <f>VLOOKUP(appointments7[[#This Row],[Patient_ID]],Patients!$A:$K,5,FALSE)</f>
        <v>28358</v>
      </c>
      <c r="F14" s="51">
        <f>VLOOKUP(appointments7[[#This Row],[Patient_ID]],Patients!$A:$K,6,FALSE)</f>
        <v>8397029847</v>
      </c>
      <c r="G14" s="51" t="str">
        <f>VLOOKUP(appointments7[[#This Row],[Patient_ID]],Patients!$A:$K,7,FALSE)</f>
        <v>321 Maple Dr</v>
      </c>
      <c r="H14" s="52">
        <f>VLOOKUP(appointments7[[#This Row],[Patient_ID]],Patients!$A:$K,8,FALSE)</f>
        <v>44599</v>
      </c>
      <c r="I14" s="51" t="str">
        <f>VLOOKUP(appointments7[[#This Row],[Patient_ID]],Patients!$A:$K,11,FALSE)</f>
        <v>laura.jones@mail.com</v>
      </c>
      <c r="J14" s="51" t="s">
        <v>48</v>
      </c>
      <c r="K14" s="51" t="s">
        <v>913</v>
      </c>
      <c r="L14" s="51" t="str">
        <f>VLOOKUP(appointments7[[#This Row],[Doctor_ID]],Doctors!$A:$H,4,FALSE)</f>
        <v>Pediatrics</v>
      </c>
      <c r="M14" s="51">
        <f>VLOOKUP(appointments7[[#This Row],[Doctor_ID]],Doctors!$A:$H,5,FALSE)</f>
        <v>9004382050</v>
      </c>
      <c r="N14" s="51" t="str">
        <f>VLOOKUP(appointments7[[#This Row],[Doctor_ID]],Doctors!$A:$H,7,FALSE)</f>
        <v>Eastside Clinic</v>
      </c>
      <c r="O14" s="52">
        <v>45154</v>
      </c>
      <c r="P14" s="53">
        <v>0.5</v>
      </c>
      <c r="Q14" s="51" t="s">
        <v>26</v>
      </c>
      <c r="R14" s="51" t="s">
        <v>11</v>
      </c>
      <c r="S14" s="51" t="str">
        <f>VLOOKUP(appointments7[[#This Row],[Appointment_ID]],Treatments!$A:$F,2,FALSE)</f>
        <v>T013</v>
      </c>
      <c r="T14" s="51" t="str">
        <f>VLOOKUP(appointments7[[#This Row],[Appointment_ID]],Treatments!$A:$F,3,FALSE)</f>
        <v>MRI</v>
      </c>
      <c r="U14" s="54">
        <f>VLOOKUP(treatments[[#This Row],[appointment_id]],Treatments!$A:$F,5,FALSE)</f>
        <v>4704.96</v>
      </c>
      <c r="V14" s="52">
        <f>VLOOKUP(appointments7[[#This Row],[Appointment_ID]],Treatments!$A:$F,6,FALSE)</f>
        <v>45154</v>
      </c>
      <c r="W14" s="52" t="str">
        <f>VLOOKUP(appointments7[[#This Row],[Patient_ID]],Billing!$A:$G,2,FALSE)</f>
        <v>B013</v>
      </c>
      <c r="X14" s="52">
        <f>VLOOKUP(appointments7[[#This Row],[Patient_ID]],Billing!$A:$H,4,FALSE)</f>
        <v>45154</v>
      </c>
      <c r="Y14" s="54">
        <f>VLOOKUP(appointments7[[#This Row],[Patient_ID]],Billing!$A:$G,5,FALSE)</f>
        <v>4704.96</v>
      </c>
      <c r="Z14" s="54" t="str">
        <f>VLOOKUP(appointments7[[#This Row],[Patient_ID]],Billing!$A:$G,6,FALSE)</f>
        <v>Cash</v>
      </c>
      <c r="AA14" s="52" t="str">
        <f>VLOOKUP(appointments7[[#This Row],[Patient_ID]],Billing!$A:$G,7,FALSE)</f>
        <v>Paid</v>
      </c>
      <c r="AB14" s="2"/>
      <c r="AC14" s="2"/>
    </row>
    <row r="15" spans="1:29" x14ac:dyDescent="0.4">
      <c r="A15" s="51" t="s">
        <v>49</v>
      </c>
      <c r="B15" s="51" t="s">
        <v>50</v>
      </c>
      <c r="C15" s="51" t="s">
        <v>883</v>
      </c>
      <c r="D15" s="51" t="str">
        <f>VLOOKUP(appointments7[[#This Row],[Patient_ID]],Patients!$A:$K,4,FALSE)</f>
        <v>F</v>
      </c>
      <c r="E15" s="52">
        <f>VLOOKUP(appointments7[[#This Row],[Patient_ID]],Patients!$A:$K,5,FALSE)</f>
        <v>33580</v>
      </c>
      <c r="F15" s="51">
        <f>VLOOKUP(appointments7[[#This Row],[Patient_ID]],Patients!$A:$K,6,FALSE)</f>
        <v>8135666049</v>
      </c>
      <c r="G15" s="51" t="str">
        <f>VLOOKUP(appointments7[[#This Row],[Patient_ID]],Patients!$A:$K,7,FALSE)</f>
        <v>321 Maple Dr</v>
      </c>
      <c r="H15" s="52">
        <f>VLOOKUP(appointments7[[#This Row],[Patient_ID]],Patients!$A:$K,8,FALSE)</f>
        <v>45043</v>
      </c>
      <c r="I15" s="51" t="str">
        <f>VLOOKUP(appointments7[[#This Row],[Patient_ID]],Patients!$A:$K,11,FALSE)</f>
        <v>laura.davis@mail.com</v>
      </c>
      <c r="J15" s="51" t="s">
        <v>35</v>
      </c>
      <c r="K15" s="51" t="s">
        <v>912</v>
      </c>
      <c r="L15" s="51" t="str">
        <f>VLOOKUP(appointments7[[#This Row],[Doctor_ID]],Doctors!$A:$H,4,FALSE)</f>
        <v>Oncology</v>
      </c>
      <c r="M15" s="51">
        <f>VLOOKUP(appointments7[[#This Row],[Doctor_ID]],Doctors!$A:$H,5,FALSE)</f>
        <v>6176383634</v>
      </c>
      <c r="N15" s="51" t="str">
        <f>VLOOKUP(appointments7[[#This Row],[Doctor_ID]],Doctors!$A:$H,7,FALSE)</f>
        <v>Eastside Clinic</v>
      </c>
      <c r="O15" s="52">
        <v>45071</v>
      </c>
      <c r="P15" s="53">
        <v>0.4375</v>
      </c>
      <c r="Q15" s="51" t="s">
        <v>26</v>
      </c>
      <c r="R15" s="51" t="s">
        <v>19</v>
      </c>
      <c r="S15" s="51" t="str">
        <f>VLOOKUP(appointments7[[#This Row],[Appointment_ID]],Treatments!$A:$F,2,FALSE)</f>
        <v>T014</v>
      </c>
      <c r="T15" s="51" t="str">
        <f>VLOOKUP(appointments7[[#This Row],[Appointment_ID]],Treatments!$A:$F,3,FALSE)</f>
        <v>ECG</v>
      </c>
      <c r="U15" s="54">
        <f>VLOOKUP(treatments[[#This Row],[appointment_id]],Treatments!$A:$F,5,FALSE)</f>
        <v>2082.3000000000002</v>
      </c>
      <c r="V15" s="52">
        <f>VLOOKUP(appointments7[[#This Row],[Appointment_ID]],Treatments!$A:$F,6,FALSE)</f>
        <v>45071</v>
      </c>
      <c r="W15" s="52" t="str">
        <f>VLOOKUP(appointments7[[#This Row],[Patient_ID]],Billing!$A:$G,2,FALSE)</f>
        <v>B014</v>
      </c>
      <c r="X15" s="52">
        <f>VLOOKUP(appointments7[[#This Row],[Patient_ID]],Billing!$A:$H,4,FALSE)</f>
        <v>45071</v>
      </c>
      <c r="Y15" s="54">
        <f>VLOOKUP(appointments7[[#This Row],[Patient_ID]],Billing!$A:$G,5,FALSE)</f>
        <v>2082.3000000000002</v>
      </c>
      <c r="Z15" s="54" t="str">
        <f>VLOOKUP(appointments7[[#This Row],[Patient_ID]],Billing!$A:$G,6,FALSE)</f>
        <v>Credit Card</v>
      </c>
      <c r="AA15" s="52" t="str">
        <f>VLOOKUP(appointments7[[#This Row],[Patient_ID]],Billing!$A:$G,7,FALSE)</f>
        <v>Paid</v>
      </c>
      <c r="AB15" s="2"/>
      <c r="AC15" s="2"/>
    </row>
    <row r="16" spans="1:29" x14ac:dyDescent="0.4">
      <c r="A16" s="51" t="s">
        <v>51</v>
      </c>
      <c r="B16" s="51" t="s">
        <v>52</v>
      </c>
      <c r="C16" s="51" t="s">
        <v>884</v>
      </c>
      <c r="D16" s="51" t="str">
        <f>VLOOKUP(appointments7[[#This Row],[Patient_ID]],Patients!$A:$K,4,FALSE)</f>
        <v>M</v>
      </c>
      <c r="E16" s="52">
        <f>VLOOKUP(appointments7[[#This Row],[Patient_ID]],Patients!$A:$K,5,FALSE)</f>
        <v>37953</v>
      </c>
      <c r="F16" s="51">
        <f>VLOOKUP(appointments7[[#This Row],[Patient_ID]],Patients!$A:$K,6,FALSE)</f>
        <v>9900972256</v>
      </c>
      <c r="G16" s="51" t="str">
        <f>VLOOKUP(appointments7[[#This Row],[Patient_ID]],Patients!$A:$K,7,FALSE)</f>
        <v>123 Elm St</v>
      </c>
      <c r="H16" s="52">
        <f>VLOOKUP(appointments7[[#This Row],[Patient_ID]],Patients!$A:$K,8,FALSE)</f>
        <v>44329</v>
      </c>
      <c r="I16" s="51" t="str">
        <f>VLOOKUP(appointments7[[#This Row],[Patient_ID]],Patients!$A:$K,11,FALSE)</f>
        <v>john.taylor@mail.com</v>
      </c>
      <c r="J16" s="51" t="s">
        <v>14</v>
      </c>
      <c r="K16" s="51" t="s">
        <v>909</v>
      </c>
      <c r="L16" s="51" t="str">
        <f>VLOOKUP(appointments7[[#This Row],[Doctor_ID]],Doctors!$A:$H,4,FALSE)</f>
        <v>Pediatrics</v>
      </c>
      <c r="M16" s="51">
        <f>VLOOKUP(appointments7[[#This Row],[Doctor_ID]],Doctors!$A:$H,5,FALSE)</f>
        <v>6594221991</v>
      </c>
      <c r="N16" s="51" t="str">
        <f>VLOOKUP(appointments7[[#This Row],[Doctor_ID]],Doctors!$A:$H,7,FALSE)</f>
        <v>Central Hospital</v>
      </c>
      <c r="O16" s="52">
        <v>44941</v>
      </c>
      <c r="P16" s="53">
        <v>0.71875</v>
      </c>
      <c r="Q16" s="51" t="s">
        <v>18</v>
      </c>
      <c r="R16" s="51" t="s">
        <v>15</v>
      </c>
      <c r="S16" s="51" t="str">
        <f>VLOOKUP(appointments7[[#This Row],[Appointment_ID]],Treatments!$A:$F,2,FALSE)</f>
        <v>T015</v>
      </c>
      <c r="T16" s="51" t="str">
        <f>VLOOKUP(appointments7[[#This Row],[Appointment_ID]],Treatments!$A:$F,3,FALSE)</f>
        <v>Physiotherapy</v>
      </c>
      <c r="U16" s="54">
        <f>VLOOKUP(treatments[[#This Row],[appointment_id]],Treatments!$A:$F,5,FALSE)</f>
        <v>956.39</v>
      </c>
      <c r="V16" s="52">
        <f>VLOOKUP(appointments7[[#This Row],[Appointment_ID]],Treatments!$A:$F,6,FALSE)</f>
        <v>44941</v>
      </c>
      <c r="W16" s="52" t="str">
        <f>VLOOKUP(appointments7[[#This Row],[Patient_ID]],Billing!$A:$G,2,FALSE)</f>
        <v>B015</v>
      </c>
      <c r="X16" s="52">
        <f>VLOOKUP(appointments7[[#This Row],[Patient_ID]],Billing!$A:$H,4,FALSE)</f>
        <v>44941</v>
      </c>
      <c r="Y16" s="54">
        <f>VLOOKUP(appointments7[[#This Row],[Patient_ID]],Billing!$A:$G,5,FALSE)</f>
        <v>956.39</v>
      </c>
      <c r="Z16" s="54" t="str">
        <f>VLOOKUP(appointments7[[#This Row],[Patient_ID]],Billing!$A:$G,6,FALSE)</f>
        <v>Insurance</v>
      </c>
      <c r="AA16" s="52" t="str">
        <f>VLOOKUP(appointments7[[#This Row],[Patient_ID]],Billing!$A:$G,7,FALSE)</f>
        <v>Pending</v>
      </c>
      <c r="AB16" s="2"/>
      <c r="AC16" s="2"/>
    </row>
    <row r="17" spans="1:29" x14ac:dyDescent="0.4">
      <c r="A17" s="51" t="s">
        <v>53</v>
      </c>
      <c r="B17" s="51" t="s">
        <v>34</v>
      </c>
      <c r="C17" s="51" t="s">
        <v>877</v>
      </c>
      <c r="D17" s="51" t="str">
        <f>VLOOKUP(appointments7[[#This Row],[Patient_ID]],Patients!$A:$K,4,FALSE)</f>
        <v>M</v>
      </c>
      <c r="E17" s="52">
        <f>VLOOKUP(appointments7[[#This Row],[Patient_ID]],Patients!$A:$K,5,FALSE)</f>
        <v>36729</v>
      </c>
      <c r="F17" s="51">
        <f>VLOOKUP(appointments7[[#This Row],[Patient_ID]],Patients!$A:$K,6,FALSE)</f>
        <v>7223380592</v>
      </c>
      <c r="G17" s="51" t="str">
        <f>VLOOKUP(appointments7[[#This Row],[Patient_ID]],Patients!$A:$K,7,FALSE)</f>
        <v>789 Pine Rd</v>
      </c>
      <c r="H17" s="52">
        <f>VLOOKUP(appointments7[[#This Row],[Patient_ID]],Patients!$A:$K,8,FALSE)</f>
        <v>44400</v>
      </c>
      <c r="I17" s="51" t="str">
        <f>VLOOKUP(appointments7[[#This Row],[Patient_ID]],Patients!$A:$K,11,FALSE)</f>
        <v>michael.taylor@mail.com</v>
      </c>
      <c r="J17" s="51" t="s">
        <v>54</v>
      </c>
      <c r="K17" s="51" t="s">
        <v>899</v>
      </c>
      <c r="L17" s="51" t="str">
        <f>VLOOKUP(appointments7[[#This Row],[Doctor_ID]],Doctors!$A:$H,4,FALSE)</f>
        <v>Dermatology</v>
      </c>
      <c r="M17" s="51">
        <f>VLOOKUP(appointments7[[#This Row],[Doctor_ID]],Doctors!$A:$H,5,FALSE)</f>
        <v>9069162601</v>
      </c>
      <c r="N17" s="51" t="str">
        <f>VLOOKUP(appointments7[[#This Row],[Doctor_ID]],Doctors!$A:$H,7,FALSE)</f>
        <v>Westside Clinic</v>
      </c>
      <c r="O17" s="52">
        <v>45107</v>
      </c>
      <c r="P17" s="53">
        <v>0.45833333333333326</v>
      </c>
      <c r="Q17" s="51" t="s">
        <v>18</v>
      </c>
      <c r="R17" s="51" t="s">
        <v>11</v>
      </c>
      <c r="S17" s="51" t="str">
        <f>VLOOKUP(appointments7[[#This Row],[Appointment_ID]],Treatments!$A:$F,2,FALSE)</f>
        <v>T016</v>
      </c>
      <c r="T17" s="51" t="str">
        <f>VLOOKUP(appointments7[[#This Row],[Appointment_ID]],Treatments!$A:$F,3,FALSE)</f>
        <v>MRI</v>
      </c>
      <c r="U17" s="54">
        <f>VLOOKUP(treatments[[#This Row],[appointment_id]],Treatments!$A:$F,5,FALSE)</f>
        <v>2686.42</v>
      </c>
      <c r="V17" s="52">
        <f>VLOOKUP(appointments7[[#This Row],[Appointment_ID]],Treatments!$A:$F,6,FALSE)</f>
        <v>45107</v>
      </c>
      <c r="W17" s="52" t="str">
        <f>VLOOKUP(appointments7[[#This Row],[Patient_ID]],Billing!$A:$G,2,FALSE)</f>
        <v>B008</v>
      </c>
      <c r="X17" s="52">
        <f>VLOOKUP(appointments7[[#This Row],[Patient_ID]],Billing!$A:$H,4,FALSE)</f>
        <v>45070</v>
      </c>
      <c r="Y17" s="54">
        <f>VLOOKUP(appointments7[[#This Row],[Patient_ID]],Billing!$A:$G,5,FALSE)</f>
        <v>3413.64</v>
      </c>
      <c r="Z17" s="54" t="str">
        <f>VLOOKUP(appointments7[[#This Row],[Patient_ID]],Billing!$A:$G,6,FALSE)</f>
        <v>Cash</v>
      </c>
      <c r="AA17" s="52" t="str">
        <f>VLOOKUP(appointments7[[#This Row],[Patient_ID]],Billing!$A:$G,7,FALSE)</f>
        <v>Failed</v>
      </c>
      <c r="AB17" s="2"/>
      <c r="AC17" s="2"/>
    </row>
    <row r="18" spans="1:29" x14ac:dyDescent="0.4">
      <c r="A18" s="51" t="s">
        <v>55</v>
      </c>
      <c r="B18" s="51" t="s">
        <v>56</v>
      </c>
      <c r="C18" s="51" t="s">
        <v>885</v>
      </c>
      <c r="D18" s="51" t="str">
        <f>VLOOKUP(appointments7[[#This Row],[Patient_ID]],Patients!$A:$K,4,FALSE)</f>
        <v>M</v>
      </c>
      <c r="E18" s="52">
        <f>VLOOKUP(appointments7[[#This Row],[Patient_ID]],Patients!$A:$K,5,FALSE)</f>
        <v>36196</v>
      </c>
      <c r="F18" s="51">
        <f>VLOOKUP(appointments7[[#This Row],[Patient_ID]],Patients!$A:$K,6,FALSE)</f>
        <v>8886800195</v>
      </c>
      <c r="G18" s="51" t="str">
        <f>VLOOKUP(appointments7[[#This Row],[Patient_ID]],Patients!$A:$K,7,FALSE)</f>
        <v>456 Oak Ave</v>
      </c>
      <c r="H18" s="52">
        <f>VLOOKUP(appointments7[[#This Row],[Patient_ID]],Patients!$A:$K,8,FALSE)</f>
        <v>44469</v>
      </c>
      <c r="I18" s="51" t="str">
        <f>VLOOKUP(appointments7[[#This Row],[Patient_ID]],Patients!$A:$K,11,FALSE)</f>
        <v>robert.williams@mail.com</v>
      </c>
      <c r="J18" s="51" t="s">
        <v>9</v>
      </c>
      <c r="K18" s="51" t="s">
        <v>908</v>
      </c>
      <c r="L18" s="51" t="str">
        <f>VLOOKUP(appointments7[[#This Row],[Doctor_ID]],Doctors!$A:$H,4,FALSE)</f>
        <v>Pediatrics</v>
      </c>
      <c r="M18" s="51">
        <f>VLOOKUP(appointments7[[#This Row],[Doctor_ID]],Doctors!$A:$H,5,FALSE)</f>
        <v>7387087517</v>
      </c>
      <c r="N18" s="51" t="str">
        <f>VLOOKUP(appointments7[[#This Row],[Doctor_ID]],Doctors!$A:$H,7,FALSE)</f>
        <v>Central Hospital</v>
      </c>
      <c r="O18" s="52">
        <v>45118</v>
      </c>
      <c r="P18" s="53">
        <v>0.70833333333333326</v>
      </c>
      <c r="Q18" s="51" t="s">
        <v>26</v>
      </c>
      <c r="R18" s="51" t="s">
        <v>11</v>
      </c>
      <c r="S18" s="51" t="str">
        <f>VLOOKUP(appointments7[[#This Row],[Appointment_ID]],Treatments!$A:$F,2,FALSE)</f>
        <v>T017</v>
      </c>
      <c r="T18" s="51" t="str">
        <f>VLOOKUP(appointments7[[#This Row],[Appointment_ID]],Treatments!$A:$F,3,FALSE)</f>
        <v>MRI</v>
      </c>
      <c r="U18" s="54">
        <f>VLOOKUP(treatments[[#This Row],[appointment_id]],Treatments!$A:$F,5,FALSE)</f>
        <v>1655.49</v>
      </c>
      <c r="V18" s="52">
        <f>VLOOKUP(appointments7[[#This Row],[Appointment_ID]],Treatments!$A:$F,6,FALSE)</f>
        <v>45118</v>
      </c>
      <c r="W18" s="52" t="str">
        <f>VLOOKUP(appointments7[[#This Row],[Patient_ID]],Billing!$A:$G,2,FALSE)</f>
        <v>B017</v>
      </c>
      <c r="X18" s="52">
        <f>VLOOKUP(appointments7[[#This Row],[Patient_ID]],Billing!$A:$H,4,FALSE)</f>
        <v>45118</v>
      </c>
      <c r="Y18" s="54">
        <f>VLOOKUP(appointments7[[#This Row],[Patient_ID]],Billing!$A:$G,5,FALSE)</f>
        <v>1655.49</v>
      </c>
      <c r="Z18" s="54" t="str">
        <f>VLOOKUP(appointments7[[#This Row],[Patient_ID]],Billing!$A:$G,6,FALSE)</f>
        <v>Credit Card</v>
      </c>
      <c r="AA18" s="52" t="str">
        <f>VLOOKUP(appointments7[[#This Row],[Patient_ID]],Billing!$A:$G,7,FALSE)</f>
        <v>Pending</v>
      </c>
      <c r="AB18" s="2"/>
      <c r="AC18" s="2"/>
    </row>
    <row r="19" spans="1:29" x14ac:dyDescent="0.4">
      <c r="A19" s="51" t="s">
        <v>57</v>
      </c>
      <c r="B19" s="51" t="s">
        <v>43</v>
      </c>
      <c r="C19" s="51" t="s">
        <v>880</v>
      </c>
      <c r="D19" s="51" t="str">
        <f>VLOOKUP(appointments7[[#This Row],[Patient_ID]],Patients!$A:$K,4,FALSE)</f>
        <v>M</v>
      </c>
      <c r="E19" s="52">
        <f>VLOOKUP(appointments7[[#This Row],[Patient_ID]],Patients!$A:$K,5,FALSE)</f>
        <v>20219</v>
      </c>
      <c r="F19" s="51">
        <f>VLOOKUP(appointments7[[#This Row],[Patient_ID]],Patients!$A:$K,6,FALSE)</f>
        <v>6221099573</v>
      </c>
      <c r="G19" s="51" t="str">
        <f>VLOOKUP(appointments7[[#This Row],[Patient_ID]],Patients!$A:$K,7,FALSE)</f>
        <v>321 Maple Dr</v>
      </c>
      <c r="H19" s="52">
        <f>VLOOKUP(appointments7[[#This Row],[Patient_ID]],Patients!$A:$K,8,FALSE)</f>
        <v>44327</v>
      </c>
      <c r="I19" s="51" t="str">
        <f>VLOOKUP(appointments7[[#This Row],[Patient_ID]],Patients!$A:$K,11,FALSE)</f>
        <v>john.brown@mail.com</v>
      </c>
      <c r="J19" s="51" t="s">
        <v>32</v>
      </c>
      <c r="K19" s="51" t="s">
        <v>911</v>
      </c>
      <c r="L19" s="51" t="str">
        <f>VLOOKUP(appointments7[[#This Row],[Doctor_ID]],Doctors!$A:$H,4,FALSE)</f>
        <v>Oncology</v>
      </c>
      <c r="M19" s="51">
        <f>VLOOKUP(appointments7[[#This Row],[Doctor_ID]],Doctors!$A:$H,5,FALSE)</f>
        <v>8217493115</v>
      </c>
      <c r="N19" s="51" t="str">
        <f>VLOOKUP(appointments7[[#This Row],[Doctor_ID]],Doctors!$A:$H,7,FALSE)</f>
        <v>Westside Clinic</v>
      </c>
      <c r="O19" s="52">
        <v>45244</v>
      </c>
      <c r="P19" s="53">
        <v>0.40625</v>
      </c>
      <c r="Q19" s="51" t="s">
        <v>18</v>
      </c>
      <c r="R19" s="51" t="s">
        <v>19</v>
      </c>
      <c r="S19" s="51" t="str">
        <f>VLOOKUP(appointments7[[#This Row],[Appointment_ID]],Treatments!$A:$F,2,FALSE)</f>
        <v>T018</v>
      </c>
      <c r="T19" s="51" t="str">
        <f>VLOOKUP(appointments7[[#This Row],[Appointment_ID]],Treatments!$A:$F,3,FALSE)</f>
        <v>ECG</v>
      </c>
      <c r="U19" s="54">
        <f>VLOOKUP(treatments[[#This Row],[appointment_id]],Treatments!$A:$F,5,FALSE)</f>
        <v>1781.93</v>
      </c>
      <c r="V19" s="52">
        <f>VLOOKUP(appointments7[[#This Row],[Appointment_ID]],Treatments!$A:$F,6,FALSE)</f>
        <v>45244</v>
      </c>
      <c r="W19" s="52" t="str">
        <f>VLOOKUP(appointments7[[#This Row],[Patient_ID]],Billing!$A:$G,2,FALSE)</f>
        <v>B011</v>
      </c>
      <c r="X19" s="52">
        <f>VLOOKUP(appointments7[[#This Row],[Patient_ID]],Billing!$A:$H,4,FALSE)</f>
        <v>45242</v>
      </c>
      <c r="Y19" s="54">
        <f>VLOOKUP(appointments7[[#This Row],[Patient_ID]],Billing!$A:$G,5,FALSE)</f>
        <v>4671.66</v>
      </c>
      <c r="Z19" s="54" t="str">
        <f>VLOOKUP(appointments7[[#This Row],[Patient_ID]],Billing!$A:$G,6,FALSE)</f>
        <v>Cash</v>
      </c>
      <c r="AA19" s="52" t="str">
        <f>VLOOKUP(appointments7[[#This Row],[Patient_ID]],Billing!$A:$G,7,FALSE)</f>
        <v>Failed</v>
      </c>
      <c r="AB19" s="2"/>
      <c r="AC19" s="2"/>
    </row>
    <row r="20" spans="1:29" x14ac:dyDescent="0.4">
      <c r="A20" s="51" t="s">
        <v>58</v>
      </c>
      <c r="B20" s="51" t="s">
        <v>45</v>
      </c>
      <c r="C20" s="51" t="s">
        <v>881</v>
      </c>
      <c r="D20" s="51" t="str">
        <f>VLOOKUP(appointments7[[#This Row],[Patient_ID]],Patients!$A:$K,4,FALSE)</f>
        <v>M</v>
      </c>
      <c r="E20" s="52">
        <f>VLOOKUP(appointments7[[#This Row],[Patient_ID]],Patients!$A:$K,5,FALSE)</f>
        <v>38487</v>
      </c>
      <c r="F20" s="51">
        <f>VLOOKUP(appointments7[[#This Row],[Patient_ID]],Patients!$A:$K,6,FALSE)</f>
        <v>8923607677</v>
      </c>
      <c r="G20" s="51" t="str">
        <f>VLOOKUP(appointments7[[#This Row],[Patient_ID]],Patients!$A:$K,7,FALSE)</f>
        <v>789 Pine Rd</v>
      </c>
      <c r="H20" s="52">
        <f>VLOOKUP(appointments7[[#This Row],[Patient_ID]],Patients!$A:$K,8,FALSE)</f>
        <v>45035</v>
      </c>
      <c r="I20" s="51" t="str">
        <f>VLOOKUP(appointments7[[#This Row],[Patient_ID]],Patients!$A:$K,11,FALSE)</f>
        <v>david.smith@mail.com</v>
      </c>
      <c r="J20" s="51" t="s">
        <v>59</v>
      </c>
      <c r="K20" s="51" t="s">
        <v>914</v>
      </c>
      <c r="L20" s="51" t="str">
        <f>VLOOKUP(appointments7[[#This Row],[Doctor_ID]],Doctors!$A:$H,4,FALSE)</f>
        <v>Dermatology</v>
      </c>
      <c r="M20" s="51">
        <f>VLOOKUP(appointments7[[#This Row],[Doctor_ID]],Doctors!$A:$H,5,FALSE)</f>
        <v>8322010158</v>
      </c>
      <c r="N20" s="51" t="str">
        <f>VLOOKUP(appointments7[[#This Row],[Doctor_ID]],Doctors!$A:$H,7,FALSE)</f>
        <v>Westside Clinic</v>
      </c>
      <c r="O20" s="52">
        <v>44963</v>
      </c>
      <c r="P20" s="53">
        <v>0.64583333333333326</v>
      </c>
      <c r="Q20" s="51" t="s">
        <v>29</v>
      </c>
      <c r="R20" s="51" t="s">
        <v>19</v>
      </c>
      <c r="S20" s="51" t="str">
        <f>VLOOKUP(appointments7[[#This Row],[Appointment_ID]],Treatments!$A:$F,2,FALSE)</f>
        <v>T019</v>
      </c>
      <c r="T20" s="51" t="str">
        <f>VLOOKUP(appointments7[[#This Row],[Appointment_ID]],Treatments!$A:$F,3,FALSE)</f>
        <v>X-Ray</v>
      </c>
      <c r="U20" s="54">
        <f>VLOOKUP(treatments[[#This Row],[appointment_id]],Treatments!$A:$F,5,FALSE)</f>
        <v>1882.8</v>
      </c>
      <c r="V20" s="52">
        <f>VLOOKUP(appointments7[[#This Row],[Appointment_ID]],Treatments!$A:$F,6,FALSE)</f>
        <v>44963</v>
      </c>
      <c r="W20" s="52" t="str">
        <f>VLOOKUP(appointments7[[#This Row],[Patient_ID]],Billing!$A:$G,2,FALSE)</f>
        <v>B012</v>
      </c>
      <c r="X20" s="52">
        <f>VLOOKUP(appointments7[[#This Row],[Patient_ID]],Billing!$A:$H,4,FALSE)</f>
        <v>45053</v>
      </c>
      <c r="Y20" s="54">
        <f>VLOOKUP(appointments7[[#This Row],[Patient_ID]],Billing!$A:$G,5,FALSE)</f>
        <v>771.2</v>
      </c>
      <c r="Z20" s="54" t="str">
        <f>VLOOKUP(appointments7[[#This Row],[Patient_ID]],Billing!$A:$G,6,FALSE)</f>
        <v>Insurance</v>
      </c>
      <c r="AA20" s="52" t="str">
        <f>VLOOKUP(appointments7[[#This Row],[Patient_ID]],Billing!$A:$G,7,FALSE)</f>
        <v>Pending</v>
      </c>
      <c r="AB20" s="2"/>
      <c r="AC20" s="2"/>
    </row>
    <row r="21" spans="1:29" x14ac:dyDescent="0.4">
      <c r="A21" s="51" t="s">
        <v>60</v>
      </c>
      <c r="B21" s="51" t="s">
        <v>61</v>
      </c>
      <c r="C21" s="51" t="s">
        <v>886</v>
      </c>
      <c r="D21" s="51" t="str">
        <f>VLOOKUP(appointments7[[#This Row],[Patient_ID]],Patients!$A:$K,4,FALSE)</f>
        <v>M</v>
      </c>
      <c r="E21" s="52">
        <f>VLOOKUP(appointments7[[#This Row],[Patient_ID]],Patients!$A:$K,5,FALSE)</f>
        <v>24895</v>
      </c>
      <c r="F21" s="51">
        <f>VLOOKUP(appointments7[[#This Row],[Patient_ID]],Patients!$A:$K,6,FALSE)</f>
        <v>7292262512</v>
      </c>
      <c r="G21" s="51" t="str">
        <f>VLOOKUP(appointments7[[#This Row],[Patient_ID]],Patients!$A:$K,7,FALSE)</f>
        <v>789 Pine Rd</v>
      </c>
      <c r="H21" s="52">
        <f>VLOOKUP(appointments7[[#This Row],[Patient_ID]],Patients!$A:$K,8,FALSE)</f>
        <v>45272</v>
      </c>
      <c r="I21" s="51" t="str">
        <f>VLOOKUP(appointments7[[#This Row],[Patient_ID]],Patients!$A:$K,11,FALSE)</f>
        <v>alex.taylor@mail.com</v>
      </c>
      <c r="J21" s="51" t="s">
        <v>25</v>
      </c>
      <c r="K21" s="51" t="s">
        <v>906</v>
      </c>
      <c r="L21" s="51" t="str">
        <f>VLOOKUP(appointments7[[#This Row],[Doctor_ID]],Doctors!$A:$H,4,FALSE)</f>
        <v>Pediatrics</v>
      </c>
      <c r="M21" s="51">
        <f>VLOOKUP(appointments7[[#This Row],[Doctor_ID]],Doctors!$A:$H,5,FALSE)</f>
        <v>8737740598</v>
      </c>
      <c r="N21" s="51" t="str">
        <f>VLOOKUP(appointments7[[#This Row],[Doctor_ID]],Doctors!$A:$H,7,FALSE)</f>
        <v>Eastside Clinic</v>
      </c>
      <c r="O21" s="52">
        <v>45265</v>
      </c>
      <c r="P21" s="53">
        <v>0.63541666666666674</v>
      </c>
      <c r="Q21" s="51" t="s">
        <v>18</v>
      </c>
      <c r="R21" s="51" t="s">
        <v>41</v>
      </c>
      <c r="S21" s="51" t="str">
        <f>VLOOKUP(appointments7[[#This Row],[Appointment_ID]],Treatments!$A:$F,2,FALSE)</f>
        <v>T020</v>
      </c>
      <c r="T21" s="51" t="str">
        <f>VLOOKUP(appointments7[[#This Row],[Appointment_ID]],Treatments!$A:$F,3,FALSE)</f>
        <v>Chemotherapy</v>
      </c>
      <c r="U21" s="54">
        <f>VLOOKUP(treatments[[#This Row],[appointment_id]],Treatments!$A:$F,5,FALSE)</f>
        <v>4113.62</v>
      </c>
      <c r="V21" s="52">
        <f>VLOOKUP(appointments7[[#This Row],[Appointment_ID]],Treatments!$A:$F,6,FALSE)</f>
        <v>45265</v>
      </c>
      <c r="W21" s="52" t="str">
        <f>VLOOKUP(appointments7[[#This Row],[Patient_ID]],Billing!$A:$G,2,FALSE)</f>
        <v>B020</v>
      </c>
      <c r="X21" s="52">
        <f>VLOOKUP(appointments7[[#This Row],[Patient_ID]],Billing!$A:$H,4,FALSE)</f>
        <v>45265</v>
      </c>
      <c r="Y21" s="54">
        <f>VLOOKUP(appointments7[[#This Row],[Patient_ID]],Billing!$A:$G,5,FALSE)</f>
        <v>4113.62</v>
      </c>
      <c r="Z21" s="54" t="str">
        <f>VLOOKUP(appointments7[[#This Row],[Patient_ID]],Billing!$A:$G,6,FALSE)</f>
        <v>Credit Card</v>
      </c>
      <c r="AA21" s="52" t="str">
        <f>VLOOKUP(appointments7[[#This Row],[Patient_ID]],Billing!$A:$G,7,FALSE)</f>
        <v>Failed</v>
      </c>
      <c r="AB21" s="2"/>
      <c r="AC21" s="2"/>
    </row>
    <row r="22" spans="1:29" x14ac:dyDescent="0.4">
      <c r="A22" s="51" t="s">
        <v>62</v>
      </c>
      <c r="B22" s="51" t="s">
        <v>63</v>
      </c>
      <c r="C22" s="51" t="s">
        <v>871</v>
      </c>
      <c r="D22" s="51" t="str">
        <f>VLOOKUP(appointments7[[#This Row],[Patient_ID]],Patients!$A:$K,4,FALSE)</f>
        <v>M</v>
      </c>
      <c r="E22" s="52">
        <f>VLOOKUP(appointments7[[#This Row],[Patient_ID]],Patients!$A:$K,5,FALSE)</f>
        <v>34072</v>
      </c>
      <c r="F22" s="51">
        <f>VLOOKUP(appointments7[[#This Row],[Patient_ID]],Patients!$A:$K,6,FALSE)</f>
        <v>7028910482</v>
      </c>
      <c r="G22" s="51" t="str">
        <f>VLOOKUP(appointments7[[#This Row],[Patient_ID]],Patients!$A:$K,7,FALSE)</f>
        <v>321 Maple Dr</v>
      </c>
      <c r="H22" s="52">
        <f>VLOOKUP(appointments7[[#This Row],[Patient_ID]],Patients!$A:$K,8,FALSE)</f>
        <v>45066</v>
      </c>
      <c r="I22" s="51" t="str">
        <f>VLOOKUP(appointments7[[#This Row],[Patient_ID]],Patients!$A:$K,11,FALSE)</f>
        <v>alex.moore@mail.com</v>
      </c>
      <c r="J22" s="51" t="s">
        <v>9</v>
      </c>
      <c r="K22" s="51" t="s">
        <v>908</v>
      </c>
      <c r="L22" s="51" t="str">
        <f>VLOOKUP(appointments7[[#This Row],[Doctor_ID]],Doctors!$A:$H,4,FALSE)</f>
        <v>Pediatrics</v>
      </c>
      <c r="M22" s="51">
        <f>VLOOKUP(appointments7[[#This Row],[Doctor_ID]],Doctors!$A:$H,5,FALSE)</f>
        <v>7387087517</v>
      </c>
      <c r="N22" s="51" t="str">
        <f>VLOOKUP(appointments7[[#This Row],[Doctor_ID]],Doctors!$A:$H,7,FALSE)</f>
        <v>Central Hospital</v>
      </c>
      <c r="O22" s="52">
        <v>45040</v>
      </c>
      <c r="P22" s="53">
        <v>0.41666666666666674</v>
      </c>
      <c r="Q22" s="51" t="s">
        <v>10</v>
      </c>
      <c r="R22" s="51" t="s">
        <v>15</v>
      </c>
      <c r="S22" s="51" t="str">
        <f>VLOOKUP(appointments7[[#This Row],[Appointment_ID]],Treatments!$A:$F,2,FALSE)</f>
        <v>T021</v>
      </c>
      <c r="T22" s="51" t="str">
        <f>VLOOKUP(appointments7[[#This Row],[Appointment_ID]],Treatments!$A:$F,3,FALSE)</f>
        <v>X-Ray</v>
      </c>
      <c r="U22" s="54">
        <f>VLOOKUP(treatments[[#This Row],[appointment_id]],Treatments!$A:$F,5,FALSE)</f>
        <v>2926.23</v>
      </c>
      <c r="V22" s="52">
        <f>VLOOKUP(appointments7[[#This Row],[Appointment_ID]],Treatments!$A:$F,6,FALSE)</f>
        <v>45040</v>
      </c>
      <c r="W22" s="52" t="str">
        <f>VLOOKUP(appointments7[[#This Row],[Patient_ID]],Billing!$A:$G,2,FALSE)</f>
        <v>B021</v>
      </c>
      <c r="X22" s="52">
        <f>VLOOKUP(appointments7[[#This Row],[Patient_ID]],Billing!$A:$H,4,FALSE)</f>
        <v>45040</v>
      </c>
      <c r="Y22" s="54">
        <f>VLOOKUP(appointments7[[#This Row],[Patient_ID]],Billing!$A:$G,5,FALSE)</f>
        <v>2926.23</v>
      </c>
      <c r="Z22" s="54" t="str">
        <f>VLOOKUP(appointments7[[#This Row],[Patient_ID]],Billing!$A:$G,6,FALSE)</f>
        <v>Insurance</v>
      </c>
      <c r="AA22" s="52" t="str">
        <f>VLOOKUP(appointments7[[#This Row],[Patient_ID]],Billing!$A:$G,7,FALSE)</f>
        <v>Failed</v>
      </c>
      <c r="AB22" s="2"/>
      <c r="AC22" s="2"/>
    </row>
    <row r="23" spans="1:29" x14ac:dyDescent="0.4">
      <c r="A23" s="51" t="s">
        <v>64</v>
      </c>
      <c r="B23" s="51" t="s">
        <v>40</v>
      </c>
      <c r="C23" s="51" t="s">
        <v>879</v>
      </c>
      <c r="D23" s="51" t="str">
        <f>VLOOKUP(appointments7[[#This Row],[Patient_ID]],Patients!$A:$K,4,FALSE)</f>
        <v>M</v>
      </c>
      <c r="E23" s="52">
        <f>VLOOKUP(appointments7[[#This Row],[Patient_ID]],Patients!$A:$K,5,FALSE)</f>
        <v>22090</v>
      </c>
      <c r="F23" s="51">
        <f>VLOOKUP(appointments7[[#This Row],[Patient_ID]],Patients!$A:$K,6,FALSE)</f>
        <v>7734463155</v>
      </c>
      <c r="G23" s="51" t="str">
        <f>VLOOKUP(appointments7[[#This Row],[Patient_ID]],Patients!$A:$K,7,FALSE)</f>
        <v>123 Elm St</v>
      </c>
      <c r="H23" s="52">
        <f>VLOOKUP(appointments7[[#This Row],[Patient_ID]],Patients!$A:$K,8,FALSE)</f>
        <v>44468</v>
      </c>
      <c r="I23" s="51" t="str">
        <f>VLOOKUP(appointments7[[#This Row],[Patient_ID]],Patients!$A:$K,11,FALSE)</f>
        <v>david.wilson@mail.com</v>
      </c>
      <c r="J23" s="51" t="s">
        <v>59</v>
      </c>
      <c r="K23" s="51" t="s">
        <v>914</v>
      </c>
      <c r="L23" s="51" t="str">
        <f>VLOOKUP(appointments7[[#This Row],[Doctor_ID]],Doctors!$A:$H,4,FALSE)</f>
        <v>Dermatology</v>
      </c>
      <c r="M23" s="51">
        <f>VLOOKUP(appointments7[[#This Row],[Doctor_ID]],Doctors!$A:$H,5,FALSE)</f>
        <v>8322010158</v>
      </c>
      <c r="N23" s="51" t="str">
        <f>VLOOKUP(appointments7[[#This Row],[Doctor_ID]],Doctors!$A:$H,7,FALSE)</f>
        <v>Westside Clinic</v>
      </c>
      <c r="O23" s="52">
        <v>45244</v>
      </c>
      <c r="P23" s="53">
        <v>0.54166666666666674</v>
      </c>
      <c r="Q23" s="51" t="s">
        <v>18</v>
      </c>
      <c r="R23" s="51" t="s">
        <v>15</v>
      </c>
      <c r="S23" s="51" t="str">
        <f>VLOOKUP(appointments7[[#This Row],[Appointment_ID]],Treatments!$A:$F,2,FALSE)</f>
        <v>T022</v>
      </c>
      <c r="T23" s="51" t="str">
        <f>VLOOKUP(appointments7[[#This Row],[Appointment_ID]],Treatments!$A:$F,3,FALSE)</f>
        <v>Physiotherapy</v>
      </c>
      <c r="U23" s="54">
        <f>VLOOKUP(treatments[[#This Row],[appointment_id]],Treatments!$A:$F,5,FALSE)</f>
        <v>1900.88</v>
      </c>
      <c r="V23" s="52">
        <f>VLOOKUP(appointments7[[#This Row],[Appointment_ID]],Treatments!$A:$F,6,FALSE)</f>
        <v>45244</v>
      </c>
      <c r="W23" s="52" t="str">
        <f>VLOOKUP(appointments7[[#This Row],[Patient_ID]],Billing!$A:$G,2,FALSE)</f>
        <v>B010</v>
      </c>
      <c r="X23" s="52">
        <f>VLOOKUP(appointments7[[#This Row],[Patient_ID]],Billing!$A:$H,4,FALSE)</f>
        <v>44939</v>
      </c>
      <c r="Y23" s="54">
        <f>VLOOKUP(appointments7[[#This Row],[Patient_ID]],Billing!$A:$G,5,FALSE)</f>
        <v>1595.67</v>
      </c>
      <c r="Z23" s="54" t="str">
        <f>VLOOKUP(appointments7[[#This Row],[Patient_ID]],Billing!$A:$G,6,FALSE)</f>
        <v>Cash</v>
      </c>
      <c r="AA23" s="52" t="str">
        <f>VLOOKUP(appointments7[[#This Row],[Patient_ID]],Billing!$A:$G,7,FALSE)</f>
        <v>Paid</v>
      </c>
      <c r="AB23" s="2"/>
      <c r="AC23" s="2"/>
    </row>
    <row r="24" spans="1:29" x14ac:dyDescent="0.4">
      <c r="A24" s="51" t="s">
        <v>65</v>
      </c>
      <c r="B24" s="51" t="s">
        <v>66</v>
      </c>
      <c r="C24" s="51" t="s">
        <v>887</v>
      </c>
      <c r="D24" s="51" t="str">
        <f>VLOOKUP(appointments7[[#This Row],[Patient_ID]],Patients!$A:$K,4,FALSE)</f>
        <v>M</v>
      </c>
      <c r="E24" s="52">
        <f>VLOOKUP(appointments7[[#This Row],[Patient_ID]],Patients!$A:$K,5,FALSE)</f>
        <v>35046</v>
      </c>
      <c r="F24" s="51">
        <f>VLOOKUP(appointments7[[#This Row],[Patient_ID]],Patients!$A:$K,6,FALSE)</f>
        <v>8715732851</v>
      </c>
      <c r="G24" s="51" t="str">
        <f>VLOOKUP(appointments7[[#This Row],[Patient_ID]],Patients!$A:$K,7,FALSE)</f>
        <v>321 Maple Dr</v>
      </c>
      <c r="H24" s="52">
        <f>VLOOKUP(appointments7[[#This Row],[Patient_ID]],Patients!$A:$K,8,FALSE)</f>
        <v>44701</v>
      </c>
      <c r="I24" s="51" t="str">
        <f>VLOOKUP(appointments7[[#This Row],[Patient_ID]],Patients!$A:$K,11,FALSE)</f>
        <v>jane.moore@mail.com</v>
      </c>
      <c r="J24" s="51" t="s">
        <v>9</v>
      </c>
      <c r="K24" s="51" t="s">
        <v>908</v>
      </c>
      <c r="L24" s="51" t="str">
        <f>VLOOKUP(appointments7[[#This Row],[Doctor_ID]],Doctors!$A:$H,4,FALSE)</f>
        <v>Pediatrics</v>
      </c>
      <c r="M24" s="51">
        <f>VLOOKUP(appointments7[[#This Row],[Doctor_ID]],Doctors!$A:$H,5,FALSE)</f>
        <v>7387087517</v>
      </c>
      <c r="N24" s="51" t="str">
        <f>VLOOKUP(appointments7[[#This Row],[Doctor_ID]],Doctors!$A:$H,7,FALSE)</f>
        <v>Central Hospital</v>
      </c>
      <c r="O24" s="52">
        <v>45055</v>
      </c>
      <c r="P24" s="53">
        <v>0.60416666666666674</v>
      </c>
      <c r="Q24" s="51" t="s">
        <v>38</v>
      </c>
      <c r="R24" s="51" t="s">
        <v>19</v>
      </c>
      <c r="S24" s="51" t="str">
        <f>VLOOKUP(appointments7[[#This Row],[Appointment_ID]],Treatments!$A:$F,2,FALSE)</f>
        <v>T023</v>
      </c>
      <c r="T24" s="51" t="str">
        <f>VLOOKUP(appointments7[[#This Row],[Appointment_ID]],Treatments!$A:$F,3,FALSE)</f>
        <v>MRI</v>
      </c>
      <c r="U24" s="54">
        <f>VLOOKUP(treatments[[#This Row],[appointment_id]],Treatments!$A:$F,5,FALSE)</f>
        <v>3246.5</v>
      </c>
      <c r="V24" s="52">
        <f>VLOOKUP(appointments7[[#This Row],[Appointment_ID]],Treatments!$A:$F,6,FALSE)</f>
        <v>45055</v>
      </c>
      <c r="W24" s="52" t="str">
        <f>VLOOKUP(appointments7[[#This Row],[Patient_ID]],Billing!$A:$G,2,FALSE)</f>
        <v>B023</v>
      </c>
      <c r="X24" s="52">
        <f>VLOOKUP(appointments7[[#This Row],[Patient_ID]],Billing!$A:$H,4,FALSE)</f>
        <v>45055</v>
      </c>
      <c r="Y24" s="54">
        <f>VLOOKUP(appointments7[[#This Row],[Patient_ID]],Billing!$A:$G,5,FALSE)</f>
        <v>3246.5</v>
      </c>
      <c r="Z24" s="54" t="str">
        <f>VLOOKUP(appointments7[[#This Row],[Patient_ID]],Billing!$A:$G,6,FALSE)</f>
        <v>Credit Card</v>
      </c>
      <c r="AA24" s="52" t="str">
        <f>VLOOKUP(appointments7[[#This Row],[Patient_ID]],Billing!$A:$G,7,FALSE)</f>
        <v>Pending</v>
      </c>
      <c r="AB24" s="2"/>
      <c r="AC24" s="2"/>
    </row>
    <row r="25" spans="1:29" x14ac:dyDescent="0.4">
      <c r="A25" s="51" t="s">
        <v>67</v>
      </c>
      <c r="B25" s="51" t="s">
        <v>68</v>
      </c>
      <c r="C25" s="51" t="s">
        <v>888</v>
      </c>
      <c r="D25" s="51" t="str">
        <f>VLOOKUP(appointments7[[#This Row],[Patient_ID]],Patients!$A:$K,4,FALSE)</f>
        <v>M</v>
      </c>
      <c r="E25" s="52">
        <f>VLOOKUP(appointments7[[#This Row],[Patient_ID]],Patients!$A:$K,5,FALSE)</f>
        <v>26629</v>
      </c>
      <c r="F25" s="51">
        <f>VLOOKUP(appointments7[[#This Row],[Patient_ID]],Patients!$A:$K,6,FALSE)</f>
        <v>7712937941</v>
      </c>
      <c r="G25" s="51" t="str">
        <f>VLOOKUP(appointments7[[#This Row],[Patient_ID]],Patients!$A:$K,7,FALSE)</f>
        <v>321 Maple Dr</v>
      </c>
      <c r="H25" s="52">
        <f>VLOOKUP(appointments7[[#This Row],[Patient_ID]],Patients!$A:$K,8,FALSE)</f>
        <v>45091</v>
      </c>
      <c r="I25" s="51" t="str">
        <f>VLOOKUP(appointments7[[#This Row],[Patient_ID]],Patients!$A:$K,11,FALSE)</f>
        <v>david.moore@mail.com</v>
      </c>
      <c r="J25" s="51" t="s">
        <v>54</v>
      </c>
      <c r="K25" s="51" t="s">
        <v>899</v>
      </c>
      <c r="L25" s="51" t="str">
        <f>VLOOKUP(appointments7[[#This Row],[Doctor_ID]],Doctors!$A:$H,4,FALSE)</f>
        <v>Dermatology</v>
      </c>
      <c r="M25" s="51">
        <f>VLOOKUP(appointments7[[#This Row],[Doctor_ID]],Doctors!$A:$H,5,FALSE)</f>
        <v>9069162601</v>
      </c>
      <c r="N25" s="51" t="str">
        <f>VLOOKUP(appointments7[[#This Row],[Doctor_ID]],Doctors!$A:$H,7,FALSE)</f>
        <v>Westside Clinic</v>
      </c>
      <c r="O25" s="52">
        <v>45098</v>
      </c>
      <c r="P25" s="53">
        <v>0.33333333333333326</v>
      </c>
      <c r="Q25" s="51" t="s">
        <v>29</v>
      </c>
      <c r="R25" s="51" t="s">
        <v>41</v>
      </c>
      <c r="S25" s="51" t="str">
        <f>VLOOKUP(appointments7[[#This Row],[Appointment_ID]],Treatments!$A:$F,2,FALSE)</f>
        <v>T024</v>
      </c>
      <c r="T25" s="51" t="str">
        <f>VLOOKUP(appointments7[[#This Row],[Appointment_ID]],Treatments!$A:$F,3,FALSE)</f>
        <v>ECG</v>
      </c>
      <c r="U25" s="54">
        <f>VLOOKUP(treatments[[#This Row],[appointment_id]],Treatments!$A:$F,5,FALSE)</f>
        <v>3722.68</v>
      </c>
      <c r="V25" s="52">
        <f>VLOOKUP(appointments7[[#This Row],[Appointment_ID]],Treatments!$A:$F,6,FALSE)</f>
        <v>45098</v>
      </c>
      <c r="W25" s="52" t="str">
        <f>VLOOKUP(appointments7[[#This Row],[Patient_ID]],Billing!$A:$G,2,FALSE)</f>
        <v>B024</v>
      </c>
      <c r="X25" s="52">
        <f>VLOOKUP(appointments7[[#This Row],[Patient_ID]],Billing!$A:$H,4,FALSE)</f>
        <v>45098</v>
      </c>
      <c r="Y25" s="54">
        <f>VLOOKUP(appointments7[[#This Row],[Patient_ID]],Billing!$A:$G,5,FALSE)</f>
        <v>3722.68</v>
      </c>
      <c r="Z25" s="54" t="str">
        <f>VLOOKUP(appointments7[[#This Row],[Patient_ID]],Billing!$A:$G,6,FALSE)</f>
        <v>Cash</v>
      </c>
      <c r="AA25" s="52" t="str">
        <f>VLOOKUP(appointments7[[#This Row],[Patient_ID]],Billing!$A:$G,7,FALSE)</f>
        <v>Pending</v>
      </c>
      <c r="AB25" s="2"/>
      <c r="AC25" s="2"/>
    </row>
    <row r="26" spans="1:29" x14ac:dyDescent="0.4">
      <c r="A26" s="51" t="s">
        <v>69</v>
      </c>
      <c r="B26" s="51" t="s">
        <v>70</v>
      </c>
      <c r="C26" s="51" t="s">
        <v>889</v>
      </c>
      <c r="D26" s="51" t="str">
        <f>VLOOKUP(appointments7[[#This Row],[Patient_ID]],Patients!$A:$K,4,FALSE)</f>
        <v>M</v>
      </c>
      <c r="E26" s="52">
        <f>VLOOKUP(appointments7[[#This Row],[Patient_ID]],Patients!$A:$K,5,FALSE)</f>
        <v>23734</v>
      </c>
      <c r="F26" s="51">
        <f>VLOOKUP(appointments7[[#This Row],[Patient_ID]],Patients!$A:$K,6,FALSE)</f>
        <v>6622318721</v>
      </c>
      <c r="G26" s="51" t="str">
        <f>VLOOKUP(appointments7[[#This Row],[Patient_ID]],Patients!$A:$K,7,FALSE)</f>
        <v>456 Oak Ave</v>
      </c>
      <c r="H26" s="52">
        <f>VLOOKUP(appointments7[[#This Row],[Patient_ID]],Patients!$A:$K,8,FALSE)</f>
        <v>44415</v>
      </c>
      <c r="I26" s="51" t="str">
        <f>VLOOKUP(appointments7[[#This Row],[Patient_ID]],Patients!$A:$K,11,FALSE)</f>
        <v>emily.moore@mail.com</v>
      </c>
      <c r="J26" s="51" t="s">
        <v>59</v>
      </c>
      <c r="K26" s="51" t="s">
        <v>914</v>
      </c>
      <c r="L26" s="51" t="str">
        <f>VLOOKUP(appointments7[[#This Row],[Doctor_ID]],Doctors!$A:$H,4,FALSE)</f>
        <v>Dermatology</v>
      </c>
      <c r="M26" s="51">
        <f>VLOOKUP(appointments7[[#This Row],[Doctor_ID]],Doctors!$A:$H,5,FALSE)</f>
        <v>8322010158</v>
      </c>
      <c r="N26" s="51" t="str">
        <f>VLOOKUP(appointments7[[#This Row],[Doctor_ID]],Doctors!$A:$H,7,FALSE)</f>
        <v>Westside Clinic</v>
      </c>
      <c r="O26" s="52">
        <v>44982</v>
      </c>
      <c r="P26" s="53">
        <v>0.33333333333333326</v>
      </c>
      <c r="Q26" s="51" t="s">
        <v>38</v>
      </c>
      <c r="R26" s="51" t="s">
        <v>15</v>
      </c>
      <c r="S26" s="51" t="str">
        <f>VLOOKUP(appointments7[[#This Row],[Appointment_ID]],Treatments!$A:$F,2,FALSE)</f>
        <v>T025</v>
      </c>
      <c r="T26" s="51" t="str">
        <f>VLOOKUP(appointments7[[#This Row],[Appointment_ID]],Treatments!$A:$F,3,FALSE)</f>
        <v>ECG</v>
      </c>
      <c r="U26" s="54">
        <f>VLOOKUP(treatments[[#This Row],[appointment_id]],Treatments!$A:$F,5,FALSE)</f>
        <v>1726.81</v>
      </c>
      <c r="V26" s="52">
        <f>VLOOKUP(appointments7[[#This Row],[Appointment_ID]],Treatments!$A:$F,6,FALSE)</f>
        <v>44982</v>
      </c>
      <c r="W26" s="52" t="str">
        <f>VLOOKUP(appointments7[[#This Row],[Patient_ID]],Billing!$A:$G,2,FALSE)</f>
        <v>B025</v>
      </c>
      <c r="X26" s="52">
        <f>VLOOKUP(appointments7[[#This Row],[Patient_ID]],Billing!$A:$H,4,FALSE)</f>
        <v>44982</v>
      </c>
      <c r="Y26" s="54">
        <f>VLOOKUP(appointments7[[#This Row],[Patient_ID]],Billing!$A:$G,5,FALSE)</f>
        <v>1726.81</v>
      </c>
      <c r="Z26" s="54" t="str">
        <f>VLOOKUP(appointments7[[#This Row],[Patient_ID]],Billing!$A:$G,6,FALSE)</f>
        <v>Cash</v>
      </c>
      <c r="AA26" s="52" t="str">
        <f>VLOOKUP(appointments7[[#This Row],[Patient_ID]],Billing!$A:$G,7,FALSE)</f>
        <v>Failed</v>
      </c>
      <c r="AB26" s="2"/>
      <c r="AC26" s="2"/>
    </row>
    <row r="27" spans="1:29" x14ac:dyDescent="0.4">
      <c r="A27" s="51" t="s">
        <v>71</v>
      </c>
      <c r="B27" s="51" t="s">
        <v>72</v>
      </c>
      <c r="C27" s="51" t="s">
        <v>877</v>
      </c>
      <c r="D27" s="51" t="str">
        <f>VLOOKUP(appointments7[[#This Row],[Patient_ID]],Patients!$A:$K,4,FALSE)</f>
        <v>F</v>
      </c>
      <c r="E27" s="52">
        <f>VLOOKUP(appointments7[[#This Row],[Patient_ID]],Patients!$A:$K,5,FALSE)</f>
        <v>31656</v>
      </c>
      <c r="F27" s="51">
        <f>VLOOKUP(appointments7[[#This Row],[Patient_ID]],Patients!$A:$K,6,FALSE)</f>
        <v>8019925828</v>
      </c>
      <c r="G27" s="51" t="str">
        <f>VLOOKUP(appointments7[[#This Row],[Patient_ID]],Patients!$A:$K,7,FALSE)</f>
        <v>456 Oak Ave</v>
      </c>
      <c r="H27" s="52">
        <f>VLOOKUP(appointments7[[#This Row],[Patient_ID]],Patients!$A:$K,8,FALSE)</f>
        <v>44408</v>
      </c>
      <c r="I27" s="51" t="str">
        <f>VLOOKUP(appointments7[[#This Row],[Patient_ID]],Patients!$A:$K,11,FALSE)</f>
        <v>michael.taylor@mail.com</v>
      </c>
      <c r="J27" s="51" t="s">
        <v>22</v>
      </c>
      <c r="K27" s="51" t="s">
        <v>910</v>
      </c>
      <c r="L27" s="51" t="str">
        <f>VLOOKUP(appointments7[[#This Row],[Doctor_ID]],Doctors!$A:$H,4,FALSE)</f>
        <v>Pediatrics</v>
      </c>
      <c r="M27" s="51">
        <f>VLOOKUP(appointments7[[#This Row],[Doctor_ID]],Doctors!$A:$H,5,FALSE)</f>
        <v>6570137231</v>
      </c>
      <c r="N27" s="51" t="str">
        <f>VLOOKUP(appointments7[[#This Row],[Doctor_ID]],Doctors!$A:$H,7,FALSE)</f>
        <v>Central Hospital</v>
      </c>
      <c r="O27" s="52">
        <v>45002</v>
      </c>
      <c r="P27" s="53">
        <v>0.59375</v>
      </c>
      <c r="Q27" s="51" t="s">
        <v>38</v>
      </c>
      <c r="R27" s="51" t="s">
        <v>19</v>
      </c>
      <c r="S27" s="51" t="str">
        <f>VLOOKUP(appointments7[[#This Row],[Appointment_ID]],Treatments!$A:$F,2,FALSE)</f>
        <v>T026</v>
      </c>
      <c r="T27" s="51" t="str">
        <f>VLOOKUP(appointments7[[#This Row],[Appointment_ID]],Treatments!$A:$F,3,FALSE)</f>
        <v>Chemotherapy</v>
      </c>
      <c r="U27" s="54">
        <f>VLOOKUP(treatments[[#This Row],[appointment_id]],Treatments!$A:$F,5,FALSE)</f>
        <v>2360.9699999999998</v>
      </c>
      <c r="V27" s="52">
        <f>VLOOKUP(appointments7[[#This Row],[Appointment_ID]],Treatments!$A:$F,6,FALSE)</f>
        <v>45002</v>
      </c>
      <c r="W27" s="52" t="str">
        <f>VLOOKUP(appointments7[[#This Row],[Patient_ID]],Billing!$A:$G,2,FALSE)</f>
        <v>B026</v>
      </c>
      <c r="X27" s="52">
        <f>VLOOKUP(appointments7[[#This Row],[Patient_ID]],Billing!$A:$H,4,FALSE)</f>
        <v>45002</v>
      </c>
      <c r="Y27" s="54">
        <f>VLOOKUP(appointments7[[#This Row],[Patient_ID]],Billing!$A:$G,5,FALSE)</f>
        <v>2360.9699999999998</v>
      </c>
      <c r="Z27" s="54" t="str">
        <f>VLOOKUP(appointments7[[#This Row],[Patient_ID]],Billing!$A:$G,6,FALSE)</f>
        <v>Insurance</v>
      </c>
      <c r="AA27" s="52" t="str">
        <f>VLOOKUP(appointments7[[#This Row],[Patient_ID]],Billing!$A:$G,7,FALSE)</f>
        <v>Paid</v>
      </c>
      <c r="AB27" s="2"/>
      <c r="AC27" s="2"/>
    </row>
    <row r="28" spans="1:29" x14ac:dyDescent="0.4">
      <c r="A28" s="51" t="s">
        <v>73</v>
      </c>
      <c r="B28" s="51" t="s">
        <v>40</v>
      </c>
      <c r="C28" s="51" t="s">
        <v>879</v>
      </c>
      <c r="D28" s="51" t="str">
        <f>VLOOKUP(appointments7[[#This Row],[Patient_ID]],Patients!$A:$K,4,FALSE)</f>
        <v>M</v>
      </c>
      <c r="E28" s="52">
        <f>VLOOKUP(appointments7[[#This Row],[Patient_ID]],Patients!$A:$K,5,FALSE)</f>
        <v>22090</v>
      </c>
      <c r="F28" s="51">
        <f>VLOOKUP(appointments7[[#This Row],[Patient_ID]],Patients!$A:$K,6,FALSE)</f>
        <v>7734463155</v>
      </c>
      <c r="G28" s="51" t="str">
        <f>VLOOKUP(appointments7[[#This Row],[Patient_ID]],Patients!$A:$K,7,FALSE)</f>
        <v>123 Elm St</v>
      </c>
      <c r="H28" s="52">
        <f>VLOOKUP(appointments7[[#This Row],[Patient_ID]],Patients!$A:$K,8,FALSE)</f>
        <v>44468</v>
      </c>
      <c r="I28" s="51" t="str">
        <f>VLOOKUP(appointments7[[#This Row],[Patient_ID]],Patients!$A:$K,11,FALSE)</f>
        <v>david.wilson@mail.com</v>
      </c>
      <c r="J28" s="51" t="s">
        <v>74</v>
      </c>
      <c r="K28" s="51" t="s">
        <v>915</v>
      </c>
      <c r="L28" s="51" t="str">
        <f>VLOOKUP(appointments7[[#This Row],[Doctor_ID]],Doctors!$A:$H,4,FALSE)</f>
        <v>Dermatology</v>
      </c>
      <c r="M28" s="51">
        <f>VLOOKUP(appointments7[[#This Row],[Doctor_ID]],Doctors!$A:$H,5,FALSE)</f>
        <v>9118538547</v>
      </c>
      <c r="N28" s="51" t="str">
        <f>VLOOKUP(appointments7[[#This Row],[Doctor_ID]],Doctors!$A:$H,7,FALSE)</f>
        <v>Central Hospital</v>
      </c>
      <c r="O28" s="52">
        <v>45244</v>
      </c>
      <c r="P28" s="53">
        <v>0.53125</v>
      </c>
      <c r="Q28" s="51" t="s">
        <v>10</v>
      </c>
      <c r="R28" s="51" t="s">
        <v>11</v>
      </c>
      <c r="S28" s="51" t="str">
        <f>VLOOKUP(appointments7[[#This Row],[Appointment_ID]],Treatments!$A:$F,2,FALSE)</f>
        <v>T027</v>
      </c>
      <c r="T28" s="51" t="str">
        <f>VLOOKUP(appointments7[[#This Row],[Appointment_ID]],Treatments!$A:$F,3,FALSE)</f>
        <v>X-Ray</v>
      </c>
      <c r="U28" s="54">
        <f>VLOOKUP(treatments[[#This Row],[appointment_id]],Treatments!$A:$F,5,FALSE)</f>
        <v>1048.49</v>
      </c>
      <c r="V28" s="52">
        <f>VLOOKUP(appointments7[[#This Row],[Appointment_ID]],Treatments!$A:$F,6,FALSE)</f>
        <v>45244</v>
      </c>
      <c r="W28" s="52" t="str">
        <f>VLOOKUP(appointments7[[#This Row],[Patient_ID]],Billing!$A:$G,2,FALSE)</f>
        <v>B010</v>
      </c>
      <c r="X28" s="52">
        <f>VLOOKUP(appointments7[[#This Row],[Patient_ID]],Billing!$A:$H,4,FALSE)</f>
        <v>44939</v>
      </c>
      <c r="Y28" s="54">
        <f>VLOOKUP(appointments7[[#This Row],[Patient_ID]],Billing!$A:$G,5,FALSE)</f>
        <v>1595.67</v>
      </c>
      <c r="Z28" s="54" t="str">
        <f>VLOOKUP(appointments7[[#This Row],[Patient_ID]],Billing!$A:$G,6,FALSE)</f>
        <v>Cash</v>
      </c>
      <c r="AA28" s="52" t="str">
        <f>VLOOKUP(appointments7[[#This Row],[Patient_ID]],Billing!$A:$G,7,FALSE)</f>
        <v>Paid</v>
      </c>
      <c r="AB28" s="2"/>
      <c r="AC28" s="2"/>
    </row>
    <row r="29" spans="1:29" x14ac:dyDescent="0.4">
      <c r="A29" s="51" t="s">
        <v>75</v>
      </c>
      <c r="B29" s="51" t="s">
        <v>50</v>
      </c>
      <c r="C29" s="51" t="s">
        <v>883</v>
      </c>
      <c r="D29" s="51" t="str">
        <f>VLOOKUP(appointments7[[#This Row],[Patient_ID]],Patients!$A:$K,4,FALSE)</f>
        <v>F</v>
      </c>
      <c r="E29" s="52">
        <f>VLOOKUP(appointments7[[#This Row],[Patient_ID]],Patients!$A:$K,5,FALSE)</f>
        <v>33580</v>
      </c>
      <c r="F29" s="51">
        <f>VLOOKUP(appointments7[[#This Row],[Patient_ID]],Patients!$A:$K,6,FALSE)</f>
        <v>8135666049</v>
      </c>
      <c r="G29" s="51" t="str">
        <f>VLOOKUP(appointments7[[#This Row],[Patient_ID]],Patients!$A:$K,7,FALSE)</f>
        <v>321 Maple Dr</v>
      </c>
      <c r="H29" s="52">
        <f>VLOOKUP(appointments7[[#This Row],[Patient_ID]],Patients!$A:$K,8,FALSE)</f>
        <v>45043</v>
      </c>
      <c r="I29" s="51" t="str">
        <f>VLOOKUP(appointments7[[#This Row],[Patient_ID]],Patients!$A:$K,11,FALSE)</f>
        <v>laura.davis@mail.com</v>
      </c>
      <c r="J29" s="51" t="s">
        <v>22</v>
      </c>
      <c r="K29" s="51" t="s">
        <v>910</v>
      </c>
      <c r="L29" s="51" t="str">
        <f>VLOOKUP(appointments7[[#This Row],[Doctor_ID]],Doctors!$A:$H,4,FALSE)</f>
        <v>Pediatrics</v>
      </c>
      <c r="M29" s="51">
        <f>VLOOKUP(appointments7[[#This Row],[Doctor_ID]],Doctors!$A:$H,5,FALSE)</f>
        <v>6570137231</v>
      </c>
      <c r="N29" s="51" t="str">
        <f>VLOOKUP(appointments7[[#This Row],[Doctor_ID]],Doctors!$A:$H,7,FALSE)</f>
        <v>Central Hospital</v>
      </c>
      <c r="O29" s="52">
        <v>45228</v>
      </c>
      <c r="P29" s="53">
        <v>0.64583333333333326</v>
      </c>
      <c r="Q29" s="51" t="s">
        <v>29</v>
      </c>
      <c r="R29" s="51" t="s">
        <v>15</v>
      </c>
      <c r="S29" s="51" t="str">
        <f>VLOOKUP(appointments7[[#This Row],[Appointment_ID]],Treatments!$A:$F,2,FALSE)</f>
        <v>T028</v>
      </c>
      <c r="T29" s="51" t="str">
        <f>VLOOKUP(appointments7[[#This Row],[Appointment_ID]],Treatments!$A:$F,3,FALSE)</f>
        <v>Chemotherapy</v>
      </c>
      <c r="U29" s="54">
        <f>VLOOKUP(treatments[[#This Row],[appointment_id]],Treatments!$A:$F,5,FALSE)</f>
        <v>1315.17</v>
      </c>
      <c r="V29" s="52">
        <f>VLOOKUP(appointments7[[#This Row],[Appointment_ID]],Treatments!$A:$F,6,FALSE)</f>
        <v>45228</v>
      </c>
      <c r="W29" s="52" t="str">
        <f>VLOOKUP(appointments7[[#This Row],[Patient_ID]],Billing!$A:$G,2,FALSE)</f>
        <v>B014</v>
      </c>
      <c r="X29" s="52">
        <f>VLOOKUP(appointments7[[#This Row],[Patient_ID]],Billing!$A:$H,4,FALSE)</f>
        <v>45071</v>
      </c>
      <c r="Y29" s="54">
        <f>VLOOKUP(appointments7[[#This Row],[Patient_ID]],Billing!$A:$G,5,FALSE)</f>
        <v>2082.3000000000002</v>
      </c>
      <c r="Z29" s="54" t="str">
        <f>VLOOKUP(appointments7[[#This Row],[Patient_ID]],Billing!$A:$G,6,FALSE)</f>
        <v>Credit Card</v>
      </c>
      <c r="AA29" s="52" t="str">
        <f>VLOOKUP(appointments7[[#This Row],[Patient_ID]],Billing!$A:$G,7,FALSE)</f>
        <v>Paid</v>
      </c>
      <c r="AB29" s="2"/>
      <c r="AC29" s="2"/>
    </row>
    <row r="30" spans="1:29" x14ac:dyDescent="0.4">
      <c r="A30" s="51" t="s">
        <v>76</v>
      </c>
      <c r="B30" s="51" t="s">
        <v>34</v>
      </c>
      <c r="C30" s="51" t="s">
        <v>877</v>
      </c>
      <c r="D30" s="51" t="str">
        <f>VLOOKUP(appointments7[[#This Row],[Patient_ID]],Patients!$A:$K,4,FALSE)</f>
        <v>M</v>
      </c>
      <c r="E30" s="52">
        <f>VLOOKUP(appointments7[[#This Row],[Patient_ID]],Patients!$A:$K,5,FALSE)</f>
        <v>36729</v>
      </c>
      <c r="F30" s="51">
        <f>VLOOKUP(appointments7[[#This Row],[Patient_ID]],Patients!$A:$K,6,FALSE)</f>
        <v>7223380592</v>
      </c>
      <c r="G30" s="51" t="str">
        <f>VLOOKUP(appointments7[[#This Row],[Patient_ID]],Patients!$A:$K,7,FALSE)</f>
        <v>789 Pine Rd</v>
      </c>
      <c r="H30" s="52">
        <f>VLOOKUP(appointments7[[#This Row],[Patient_ID]],Patients!$A:$K,8,FALSE)</f>
        <v>44400</v>
      </c>
      <c r="I30" s="51" t="str">
        <f>VLOOKUP(appointments7[[#This Row],[Patient_ID]],Patients!$A:$K,11,FALSE)</f>
        <v>michael.taylor@mail.com</v>
      </c>
      <c r="J30" s="51" t="s">
        <v>35</v>
      </c>
      <c r="K30" s="51" t="s">
        <v>912</v>
      </c>
      <c r="L30" s="51" t="str">
        <f>VLOOKUP(appointments7[[#This Row],[Doctor_ID]],Doctors!$A:$H,4,FALSE)</f>
        <v>Oncology</v>
      </c>
      <c r="M30" s="51">
        <f>VLOOKUP(appointments7[[#This Row],[Doctor_ID]],Doctors!$A:$H,5,FALSE)</f>
        <v>6176383634</v>
      </c>
      <c r="N30" s="51" t="str">
        <f>VLOOKUP(appointments7[[#This Row],[Doctor_ID]],Doctors!$A:$H,7,FALSE)</f>
        <v>Eastside Clinic</v>
      </c>
      <c r="O30" s="52">
        <v>45102</v>
      </c>
      <c r="P30" s="53">
        <v>0.60416666666666674</v>
      </c>
      <c r="Q30" s="51" t="s">
        <v>29</v>
      </c>
      <c r="R30" s="51" t="s">
        <v>41</v>
      </c>
      <c r="S30" s="51" t="str">
        <f>VLOOKUP(appointments7[[#This Row],[Appointment_ID]],Treatments!$A:$F,2,FALSE)</f>
        <v>T029</v>
      </c>
      <c r="T30" s="51" t="str">
        <f>VLOOKUP(appointments7[[#This Row],[Appointment_ID]],Treatments!$A:$F,3,FALSE)</f>
        <v>MRI</v>
      </c>
      <c r="U30" s="54">
        <f>VLOOKUP(treatments[[#This Row],[appointment_id]],Treatments!$A:$F,5,FALSE)</f>
        <v>3565.03</v>
      </c>
      <c r="V30" s="52">
        <f>VLOOKUP(appointments7[[#This Row],[Appointment_ID]],Treatments!$A:$F,6,FALSE)</f>
        <v>45102</v>
      </c>
      <c r="W30" s="52" t="str">
        <f>VLOOKUP(appointments7[[#This Row],[Patient_ID]],Billing!$A:$G,2,FALSE)</f>
        <v>B008</v>
      </c>
      <c r="X30" s="52">
        <f>VLOOKUP(appointments7[[#This Row],[Patient_ID]],Billing!$A:$H,4,FALSE)</f>
        <v>45070</v>
      </c>
      <c r="Y30" s="54">
        <f>VLOOKUP(appointments7[[#This Row],[Patient_ID]],Billing!$A:$G,5,FALSE)</f>
        <v>3413.64</v>
      </c>
      <c r="Z30" s="54" t="str">
        <f>VLOOKUP(appointments7[[#This Row],[Patient_ID]],Billing!$A:$G,6,FALSE)</f>
        <v>Cash</v>
      </c>
      <c r="AA30" s="52" t="str">
        <f>VLOOKUP(appointments7[[#This Row],[Patient_ID]],Billing!$A:$G,7,FALSE)</f>
        <v>Failed</v>
      </c>
      <c r="AB30" s="2"/>
      <c r="AC30" s="2"/>
    </row>
    <row r="31" spans="1:29" x14ac:dyDescent="0.4">
      <c r="A31" s="51" t="s">
        <v>77</v>
      </c>
      <c r="B31" s="51" t="s">
        <v>52</v>
      </c>
      <c r="C31" s="51" t="s">
        <v>884</v>
      </c>
      <c r="D31" s="51" t="str">
        <f>VLOOKUP(appointments7[[#This Row],[Patient_ID]],Patients!$A:$K,4,FALSE)</f>
        <v>M</v>
      </c>
      <c r="E31" s="52">
        <f>VLOOKUP(appointments7[[#This Row],[Patient_ID]],Patients!$A:$K,5,FALSE)</f>
        <v>37953</v>
      </c>
      <c r="F31" s="51">
        <f>VLOOKUP(appointments7[[#This Row],[Patient_ID]],Patients!$A:$K,6,FALSE)</f>
        <v>9900972256</v>
      </c>
      <c r="G31" s="51" t="str">
        <f>VLOOKUP(appointments7[[#This Row],[Patient_ID]],Patients!$A:$K,7,FALSE)</f>
        <v>123 Elm St</v>
      </c>
      <c r="H31" s="52">
        <f>VLOOKUP(appointments7[[#This Row],[Patient_ID]],Patients!$A:$K,8,FALSE)</f>
        <v>44329</v>
      </c>
      <c r="I31" s="51" t="str">
        <f>VLOOKUP(appointments7[[#This Row],[Patient_ID]],Patients!$A:$K,11,FALSE)</f>
        <v>john.taylor@mail.com</v>
      </c>
      <c r="J31" s="51" t="s">
        <v>74</v>
      </c>
      <c r="K31" s="51" t="s">
        <v>915</v>
      </c>
      <c r="L31" s="51" t="str">
        <f>VLOOKUP(appointments7[[#This Row],[Doctor_ID]],Doctors!$A:$H,4,FALSE)</f>
        <v>Dermatology</v>
      </c>
      <c r="M31" s="51">
        <f>VLOOKUP(appointments7[[#This Row],[Doctor_ID]],Doctors!$A:$H,5,FALSE)</f>
        <v>9118538547</v>
      </c>
      <c r="N31" s="51" t="str">
        <f>VLOOKUP(appointments7[[#This Row],[Doctor_ID]],Doctors!$A:$H,7,FALSE)</f>
        <v>Central Hospital</v>
      </c>
      <c r="O31" s="52">
        <v>45167</v>
      </c>
      <c r="P31" s="53">
        <v>0.55208333333333326</v>
      </c>
      <c r="Q31" s="51" t="s">
        <v>29</v>
      </c>
      <c r="R31" s="51" t="s">
        <v>41</v>
      </c>
      <c r="S31" s="51" t="str">
        <f>VLOOKUP(appointments7[[#This Row],[Appointment_ID]],Treatments!$A:$F,2,FALSE)</f>
        <v>T030</v>
      </c>
      <c r="T31" s="51" t="str">
        <f>VLOOKUP(appointments7[[#This Row],[Appointment_ID]],Treatments!$A:$F,3,FALSE)</f>
        <v>Chemotherapy</v>
      </c>
      <c r="U31" s="54">
        <f>VLOOKUP(treatments[[#This Row],[appointment_id]],Treatments!$A:$F,5,FALSE)</f>
        <v>1316.47</v>
      </c>
      <c r="V31" s="52">
        <f>VLOOKUP(appointments7[[#This Row],[Appointment_ID]],Treatments!$A:$F,6,FALSE)</f>
        <v>45167</v>
      </c>
      <c r="W31" s="52" t="str">
        <f>VLOOKUP(appointments7[[#This Row],[Patient_ID]],Billing!$A:$G,2,FALSE)</f>
        <v>B015</v>
      </c>
      <c r="X31" s="52">
        <f>VLOOKUP(appointments7[[#This Row],[Patient_ID]],Billing!$A:$H,4,FALSE)</f>
        <v>44941</v>
      </c>
      <c r="Y31" s="54">
        <f>VLOOKUP(appointments7[[#This Row],[Patient_ID]],Billing!$A:$G,5,FALSE)</f>
        <v>956.39</v>
      </c>
      <c r="Z31" s="54" t="str">
        <f>VLOOKUP(appointments7[[#This Row],[Patient_ID]],Billing!$A:$G,6,FALSE)</f>
        <v>Insurance</v>
      </c>
      <c r="AA31" s="52" t="str">
        <f>VLOOKUP(appointments7[[#This Row],[Patient_ID]],Billing!$A:$G,7,FALSE)</f>
        <v>Pending</v>
      </c>
      <c r="AB31" s="2"/>
      <c r="AC31" s="2"/>
    </row>
    <row r="32" spans="1:29" x14ac:dyDescent="0.4">
      <c r="A32" s="51" t="s">
        <v>78</v>
      </c>
      <c r="B32" s="51" t="s">
        <v>52</v>
      </c>
      <c r="C32" s="51" t="s">
        <v>884</v>
      </c>
      <c r="D32" s="51" t="str">
        <f>VLOOKUP(appointments7[[#This Row],[Patient_ID]],Patients!$A:$K,4,FALSE)</f>
        <v>M</v>
      </c>
      <c r="E32" s="52">
        <f>VLOOKUP(appointments7[[#This Row],[Patient_ID]],Patients!$A:$K,5,FALSE)</f>
        <v>37953</v>
      </c>
      <c r="F32" s="51">
        <f>VLOOKUP(appointments7[[#This Row],[Patient_ID]],Patients!$A:$K,6,FALSE)</f>
        <v>9900972256</v>
      </c>
      <c r="G32" s="51" t="str">
        <f>VLOOKUP(appointments7[[#This Row],[Patient_ID]],Patients!$A:$K,7,FALSE)</f>
        <v>123 Elm St</v>
      </c>
      <c r="H32" s="52">
        <f>VLOOKUP(appointments7[[#This Row],[Patient_ID]],Patients!$A:$K,8,FALSE)</f>
        <v>44329</v>
      </c>
      <c r="I32" s="51" t="str">
        <f>VLOOKUP(appointments7[[#This Row],[Patient_ID]],Patients!$A:$K,11,FALSE)</f>
        <v>john.taylor@mail.com</v>
      </c>
      <c r="J32" s="51" t="s">
        <v>22</v>
      </c>
      <c r="K32" s="51" t="s">
        <v>910</v>
      </c>
      <c r="L32" s="51" t="str">
        <f>VLOOKUP(appointments7[[#This Row],[Doctor_ID]],Doctors!$A:$H,4,FALSE)</f>
        <v>Pediatrics</v>
      </c>
      <c r="M32" s="51">
        <f>VLOOKUP(appointments7[[#This Row],[Doctor_ID]],Doctors!$A:$H,5,FALSE)</f>
        <v>6570137231</v>
      </c>
      <c r="N32" s="51" t="str">
        <f>VLOOKUP(appointments7[[#This Row],[Doctor_ID]],Doctors!$A:$H,7,FALSE)</f>
        <v>Central Hospital</v>
      </c>
      <c r="O32" s="52">
        <v>45020</v>
      </c>
      <c r="P32" s="53">
        <v>0.4375</v>
      </c>
      <c r="Q32" s="51" t="s">
        <v>29</v>
      </c>
      <c r="R32" s="51" t="s">
        <v>41</v>
      </c>
      <c r="S32" s="51" t="str">
        <f>VLOOKUP(appointments7[[#This Row],[Appointment_ID]],Treatments!$A:$F,2,FALSE)</f>
        <v>T031</v>
      </c>
      <c r="T32" s="51" t="str">
        <f>VLOOKUP(appointments7[[#This Row],[Appointment_ID]],Treatments!$A:$F,3,FALSE)</f>
        <v>ECG</v>
      </c>
      <c r="U32" s="54">
        <f>VLOOKUP(treatments[[#This Row],[appointment_id]],Treatments!$A:$F,5,FALSE)</f>
        <v>2863.24</v>
      </c>
      <c r="V32" s="52">
        <f>VLOOKUP(appointments7[[#This Row],[Appointment_ID]],Treatments!$A:$F,6,FALSE)</f>
        <v>45020</v>
      </c>
      <c r="W32" s="52" t="str">
        <f>VLOOKUP(appointments7[[#This Row],[Patient_ID]],Billing!$A:$G,2,FALSE)</f>
        <v>B015</v>
      </c>
      <c r="X32" s="52">
        <f>VLOOKUP(appointments7[[#This Row],[Patient_ID]],Billing!$A:$H,4,FALSE)</f>
        <v>44941</v>
      </c>
      <c r="Y32" s="54">
        <f>VLOOKUP(appointments7[[#This Row],[Patient_ID]],Billing!$A:$G,5,FALSE)</f>
        <v>956.39</v>
      </c>
      <c r="Z32" s="54" t="str">
        <f>VLOOKUP(appointments7[[#This Row],[Patient_ID]],Billing!$A:$G,6,FALSE)</f>
        <v>Insurance</v>
      </c>
      <c r="AA32" s="52" t="str">
        <f>VLOOKUP(appointments7[[#This Row],[Patient_ID]],Billing!$A:$G,7,FALSE)</f>
        <v>Pending</v>
      </c>
      <c r="AB32" s="2"/>
      <c r="AC32" s="2"/>
    </row>
    <row r="33" spans="1:29" x14ac:dyDescent="0.4">
      <c r="A33" s="51" t="s">
        <v>79</v>
      </c>
      <c r="B33" s="51" t="s">
        <v>17</v>
      </c>
      <c r="C33" s="51" t="s">
        <v>872</v>
      </c>
      <c r="D33" s="51" t="str">
        <f>VLOOKUP(appointments7[[#This Row],[Patient_ID]],Patients!$A:$K,4,FALSE)</f>
        <v>M</v>
      </c>
      <c r="E33" s="52">
        <f>VLOOKUP(appointments7[[#This Row],[Patient_ID]],Patients!$A:$K,5,FALSE)</f>
        <v>30399</v>
      </c>
      <c r="F33" s="51">
        <f>VLOOKUP(appointments7[[#This Row],[Patient_ID]],Patients!$A:$K,6,FALSE)</f>
        <v>8720989381</v>
      </c>
      <c r="G33" s="51" t="str">
        <f>VLOOKUP(appointments7[[#This Row],[Patient_ID]],Patients!$A:$K,7,FALSE)</f>
        <v>123 Elm St</v>
      </c>
      <c r="H33" s="52">
        <f>VLOOKUP(appointments7[[#This Row],[Patient_ID]],Patients!$A:$K,8,FALSE)</f>
        <v>45096</v>
      </c>
      <c r="I33" s="51" t="str">
        <f>VLOOKUP(appointments7[[#This Row],[Patient_ID]],Patients!$A:$K,11,FALSE)</f>
        <v>emily.miller@mail.com</v>
      </c>
      <c r="J33" s="51" t="s">
        <v>74</v>
      </c>
      <c r="K33" s="51" t="s">
        <v>915</v>
      </c>
      <c r="L33" s="51" t="str">
        <f>VLOOKUP(appointments7[[#This Row],[Doctor_ID]],Doctors!$A:$H,4,FALSE)</f>
        <v>Dermatology</v>
      </c>
      <c r="M33" s="51">
        <f>VLOOKUP(appointments7[[#This Row],[Doctor_ID]],Doctors!$A:$H,5,FALSE)</f>
        <v>9118538547</v>
      </c>
      <c r="N33" s="51" t="str">
        <f>VLOOKUP(appointments7[[#This Row],[Doctor_ID]],Doctors!$A:$H,7,FALSE)</f>
        <v>Central Hospital</v>
      </c>
      <c r="O33" s="52">
        <v>45236</v>
      </c>
      <c r="P33" s="53">
        <v>0.44791666666666674</v>
      </c>
      <c r="Q33" s="51" t="s">
        <v>29</v>
      </c>
      <c r="R33" s="51" t="s">
        <v>11</v>
      </c>
      <c r="S33" s="51" t="str">
        <f>VLOOKUP(appointments7[[#This Row],[Appointment_ID]],Treatments!$A:$F,2,FALSE)</f>
        <v>T032</v>
      </c>
      <c r="T33" s="51" t="str">
        <f>VLOOKUP(appointments7[[#This Row],[Appointment_ID]],Treatments!$A:$F,3,FALSE)</f>
        <v>ECG</v>
      </c>
      <c r="U33" s="54">
        <f>VLOOKUP(treatments[[#This Row],[appointment_id]],Treatments!$A:$F,5,FALSE)</f>
        <v>3690.71</v>
      </c>
      <c r="V33" s="52">
        <f>VLOOKUP(appointments7[[#This Row],[Appointment_ID]],Treatments!$A:$F,6,FALSE)</f>
        <v>45236</v>
      </c>
      <c r="W33" s="52" t="str">
        <f>VLOOKUP(appointments7[[#This Row],[Patient_ID]],Billing!$A:$G,2,FALSE)</f>
        <v>B003</v>
      </c>
      <c r="X33" s="52">
        <f>VLOOKUP(appointments7[[#This Row],[Patient_ID]],Billing!$A:$H,4,FALSE)</f>
        <v>45105</v>
      </c>
      <c r="Y33" s="54">
        <f>VLOOKUP(appointments7[[#This Row],[Patient_ID]],Billing!$A:$G,5,FALSE)</f>
        <v>3731.55</v>
      </c>
      <c r="Z33" s="54" t="str">
        <f>VLOOKUP(appointments7[[#This Row],[Patient_ID]],Billing!$A:$G,6,FALSE)</f>
        <v>Insurance</v>
      </c>
      <c r="AA33" s="52" t="str">
        <f>VLOOKUP(appointments7[[#This Row],[Patient_ID]],Billing!$A:$G,7,FALSE)</f>
        <v>Paid</v>
      </c>
      <c r="AB33" s="2"/>
      <c r="AC33" s="2"/>
    </row>
    <row r="34" spans="1:29" x14ac:dyDescent="0.4">
      <c r="A34" s="51" t="s">
        <v>80</v>
      </c>
      <c r="B34" s="51" t="s">
        <v>81</v>
      </c>
      <c r="C34" s="51" t="s">
        <v>890</v>
      </c>
      <c r="D34" s="51" t="str">
        <f>VLOOKUP(appointments7[[#This Row],[Patient_ID]],Patients!$A:$K,4,FALSE)</f>
        <v>M</v>
      </c>
      <c r="E34" s="52">
        <f>VLOOKUP(appointments7[[#This Row],[Patient_ID]],Patients!$A:$K,5,FALSE)</f>
        <v>37316</v>
      </c>
      <c r="F34" s="51">
        <f>VLOOKUP(appointments7[[#This Row],[Patient_ID]],Patients!$A:$K,6,FALSE)</f>
        <v>7765390555</v>
      </c>
      <c r="G34" s="51" t="str">
        <f>VLOOKUP(appointments7[[#This Row],[Patient_ID]],Patients!$A:$K,7,FALSE)</f>
        <v>321 Maple Dr</v>
      </c>
      <c r="H34" s="52">
        <f>VLOOKUP(appointments7[[#This Row],[Patient_ID]],Patients!$A:$K,8,FALSE)</f>
        <v>44580</v>
      </c>
      <c r="I34" s="51" t="str">
        <f>VLOOKUP(appointments7[[#This Row],[Patient_ID]],Patients!$A:$K,11,FALSE)</f>
        <v>michael.wilson@mail.com</v>
      </c>
      <c r="J34" s="51" t="s">
        <v>74</v>
      </c>
      <c r="K34" s="51" t="s">
        <v>915</v>
      </c>
      <c r="L34" s="51" t="str">
        <f>VLOOKUP(appointments7[[#This Row],[Doctor_ID]],Doctors!$A:$H,4,FALSE)</f>
        <v>Dermatology</v>
      </c>
      <c r="M34" s="51">
        <f>VLOOKUP(appointments7[[#This Row],[Doctor_ID]],Doctors!$A:$H,5,FALSE)</f>
        <v>9118538547</v>
      </c>
      <c r="N34" s="51" t="str">
        <f>VLOOKUP(appointments7[[#This Row],[Doctor_ID]],Doctors!$A:$H,7,FALSE)</f>
        <v>Central Hospital</v>
      </c>
      <c r="O34" s="52">
        <v>45192</v>
      </c>
      <c r="P34" s="53">
        <v>0.73958333333333326</v>
      </c>
      <c r="Q34" s="51" t="s">
        <v>10</v>
      </c>
      <c r="R34" s="51" t="s">
        <v>15</v>
      </c>
      <c r="S34" s="51" t="str">
        <f>VLOOKUP(appointments7[[#This Row],[Appointment_ID]],Treatments!$A:$F,2,FALSE)</f>
        <v>T033</v>
      </c>
      <c r="T34" s="51" t="str">
        <f>VLOOKUP(appointments7[[#This Row],[Appointment_ID]],Treatments!$A:$F,3,FALSE)</f>
        <v>Physiotherapy</v>
      </c>
      <c r="U34" s="54">
        <f>VLOOKUP(treatments[[#This Row],[appointment_id]],Treatments!$A:$F,5,FALSE)</f>
        <v>980.95</v>
      </c>
      <c r="V34" s="52">
        <f>VLOOKUP(appointments7[[#This Row],[Appointment_ID]],Treatments!$A:$F,6,FALSE)</f>
        <v>45192</v>
      </c>
      <c r="W34" s="52" t="str">
        <f>VLOOKUP(appointments7[[#This Row],[Patient_ID]],Billing!$A:$G,2,FALSE)</f>
        <v>B033</v>
      </c>
      <c r="X34" s="52">
        <f>VLOOKUP(appointments7[[#This Row],[Patient_ID]],Billing!$A:$H,4,FALSE)</f>
        <v>45192</v>
      </c>
      <c r="Y34" s="54">
        <f>VLOOKUP(appointments7[[#This Row],[Patient_ID]],Billing!$A:$G,5,FALSE)</f>
        <v>980.95</v>
      </c>
      <c r="Z34" s="54" t="str">
        <f>VLOOKUP(appointments7[[#This Row],[Patient_ID]],Billing!$A:$G,6,FALSE)</f>
        <v>Credit Card</v>
      </c>
      <c r="AA34" s="52" t="str">
        <f>VLOOKUP(appointments7[[#This Row],[Patient_ID]],Billing!$A:$G,7,FALSE)</f>
        <v>Paid</v>
      </c>
      <c r="AB34" s="2"/>
      <c r="AC34" s="2"/>
    </row>
    <row r="35" spans="1:29" x14ac:dyDescent="0.4">
      <c r="A35" s="51" t="s">
        <v>82</v>
      </c>
      <c r="B35" s="51" t="s">
        <v>37</v>
      </c>
      <c r="C35" s="51" t="s">
        <v>878</v>
      </c>
      <c r="D35" s="51" t="str">
        <f>VLOOKUP(appointments7[[#This Row],[Patient_ID]],Patients!$A:$K,4,FALSE)</f>
        <v>F</v>
      </c>
      <c r="E35" s="52">
        <f>VLOOKUP(appointments7[[#This Row],[Patient_ID]],Patients!$A:$K,5,FALSE)</f>
        <v>18609</v>
      </c>
      <c r="F35" s="51">
        <f>VLOOKUP(appointments7[[#This Row],[Patient_ID]],Patients!$A:$K,6,FALSE)</f>
        <v>9271131338</v>
      </c>
      <c r="G35" s="51" t="str">
        <f>VLOOKUP(appointments7[[#This Row],[Patient_ID]],Patients!$A:$K,7,FALSE)</f>
        <v>789 Pine Rd</v>
      </c>
      <c r="H35" s="52">
        <f>VLOOKUP(appointments7[[#This Row],[Patient_ID]],Patients!$A:$K,8,FALSE)</f>
        <v>44264</v>
      </c>
      <c r="I35" s="51" t="str">
        <f>VLOOKUP(appointments7[[#This Row],[Patient_ID]],Patients!$A:$K,11,FALSE)</f>
        <v>jane.wilson@mail.com</v>
      </c>
      <c r="J35" s="51" t="s">
        <v>14</v>
      </c>
      <c r="K35" s="51" t="s">
        <v>909</v>
      </c>
      <c r="L35" s="51" t="str">
        <f>VLOOKUP(appointments7[[#This Row],[Doctor_ID]],Doctors!$A:$H,4,FALSE)</f>
        <v>Pediatrics</v>
      </c>
      <c r="M35" s="51">
        <f>VLOOKUP(appointments7[[#This Row],[Doctor_ID]],Doctors!$A:$H,5,FALSE)</f>
        <v>6594221991</v>
      </c>
      <c r="N35" s="51" t="str">
        <f>VLOOKUP(appointments7[[#This Row],[Doctor_ID]],Doctors!$A:$H,7,FALSE)</f>
        <v>Central Hospital</v>
      </c>
      <c r="O35" s="52">
        <v>45090</v>
      </c>
      <c r="P35" s="53">
        <v>0.47916666666666674</v>
      </c>
      <c r="Q35" s="51" t="s">
        <v>18</v>
      </c>
      <c r="R35" s="51" t="s">
        <v>15</v>
      </c>
      <c r="S35" s="51" t="str">
        <f>VLOOKUP(appointments7[[#This Row],[Appointment_ID]],Treatments!$A:$F,2,FALSE)</f>
        <v>T034</v>
      </c>
      <c r="T35" s="51" t="str">
        <f>VLOOKUP(appointments7[[#This Row],[Appointment_ID]],Treatments!$A:$F,3,FALSE)</f>
        <v>Physiotherapy</v>
      </c>
      <c r="U35" s="54">
        <f>VLOOKUP(treatments[[#This Row],[appointment_id]],Treatments!$A:$F,5,FALSE)</f>
        <v>3052.9</v>
      </c>
      <c r="V35" s="52">
        <f>VLOOKUP(appointments7[[#This Row],[Appointment_ID]],Treatments!$A:$F,6,FALSE)</f>
        <v>45090</v>
      </c>
      <c r="W35" s="52" t="str">
        <f>VLOOKUP(appointments7[[#This Row],[Patient_ID]],Billing!$A:$G,2,FALSE)</f>
        <v>B009</v>
      </c>
      <c r="X35" s="52">
        <f>VLOOKUP(appointments7[[#This Row],[Patient_ID]],Billing!$A:$H,4,FALSE)</f>
        <v>44990</v>
      </c>
      <c r="Y35" s="54">
        <f>VLOOKUP(appointments7[[#This Row],[Patient_ID]],Billing!$A:$G,5,FALSE)</f>
        <v>4541.1400000000003</v>
      </c>
      <c r="Z35" s="54" t="str">
        <f>VLOOKUP(appointments7[[#This Row],[Patient_ID]],Billing!$A:$G,6,FALSE)</f>
        <v>Credit Card</v>
      </c>
      <c r="AA35" s="52" t="str">
        <f>VLOOKUP(appointments7[[#This Row],[Patient_ID]],Billing!$A:$G,7,FALSE)</f>
        <v>Paid</v>
      </c>
      <c r="AB35" s="2"/>
      <c r="AC35" s="2"/>
    </row>
    <row r="36" spans="1:29" x14ac:dyDescent="0.4">
      <c r="A36" s="51" t="s">
        <v>83</v>
      </c>
      <c r="B36" s="51" t="s">
        <v>84</v>
      </c>
      <c r="C36" s="51" t="s">
        <v>890</v>
      </c>
      <c r="D36" s="51" t="str">
        <f>VLOOKUP(appointments7[[#This Row],[Patient_ID]],Patients!$A:$K,4,FALSE)</f>
        <v>M</v>
      </c>
      <c r="E36" s="52">
        <f>VLOOKUP(appointments7[[#This Row],[Patient_ID]],Patients!$A:$K,5,FALSE)</f>
        <v>35790</v>
      </c>
      <c r="F36" s="51">
        <f>VLOOKUP(appointments7[[#This Row],[Patient_ID]],Patients!$A:$K,6,FALSE)</f>
        <v>8545613046</v>
      </c>
      <c r="G36" s="51" t="str">
        <f>VLOOKUP(appointments7[[#This Row],[Patient_ID]],Patients!$A:$K,7,FALSE)</f>
        <v>123 Elm St</v>
      </c>
      <c r="H36" s="52">
        <f>VLOOKUP(appointments7[[#This Row],[Patient_ID]],Patients!$A:$K,8,FALSE)</f>
        <v>44838</v>
      </c>
      <c r="I36" s="51" t="str">
        <f>VLOOKUP(appointments7[[#This Row],[Patient_ID]],Patients!$A:$K,11,FALSE)</f>
        <v>michael.wilson@mail.com</v>
      </c>
      <c r="J36" s="51" t="s">
        <v>25</v>
      </c>
      <c r="K36" s="51" t="s">
        <v>906</v>
      </c>
      <c r="L36" s="51" t="str">
        <f>VLOOKUP(appointments7[[#This Row],[Doctor_ID]],Doctors!$A:$H,4,FALSE)</f>
        <v>Pediatrics</v>
      </c>
      <c r="M36" s="51">
        <f>VLOOKUP(appointments7[[#This Row],[Doctor_ID]],Doctors!$A:$H,5,FALSE)</f>
        <v>8737740598</v>
      </c>
      <c r="N36" s="51" t="str">
        <f>VLOOKUP(appointments7[[#This Row],[Doctor_ID]],Doctors!$A:$H,7,FALSE)</f>
        <v>Eastside Clinic</v>
      </c>
      <c r="O36" s="52">
        <v>45034</v>
      </c>
      <c r="P36" s="53">
        <v>0.36458333333333326</v>
      </c>
      <c r="Q36" s="51" t="s">
        <v>38</v>
      </c>
      <c r="R36" s="51" t="s">
        <v>11</v>
      </c>
      <c r="S36" s="51" t="str">
        <f>VLOOKUP(appointments7[[#This Row],[Appointment_ID]],Treatments!$A:$F,2,FALSE)</f>
        <v>T035</v>
      </c>
      <c r="T36" s="51" t="str">
        <f>VLOOKUP(appointments7[[#This Row],[Appointment_ID]],Treatments!$A:$F,3,FALSE)</f>
        <v>MRI</v>
      </c>
      <c r="U36" s="54">
        <f>VLOOKUP(treatments[[#This Row],[appointment_id]],Treatments!$A:$F,5,FALSE)</f>
        <v>1654.53</v>
      </c>
      <c r="V36" s="52">
        <f>VLOOKUP(appointments7[[#This Row],[Appointment_ID]],Treatments!$A:$F,6,FALSE)</f>
        <v>45034</v>
      </c>
      <c r="W36" s="52" t="str">
        <f>VLOOKUP(appointments7[[#This Row],[Patient_ID]],Billing!$A:$G,2,FALSE)</f>
        <v>B035</v>
      </c>
      <c r="X36" s="52">
        <f>VLOOKUP(appointments7[[#This Row],[Patient_ID]],Billing!$A:$H,4,FALSE)</f>
        <v>45034</v>
      </c>
      <c r="Y36" s="54">
        <f>VLOOKUP(appointments7[[#This Row],[Patient_ID]],Billing!$A:$G,5,FALSE)</f>
        <v>1654.53</v>
      </c>
      <c r="Z36" s="54" t="str">
        <f>VLOOKUP(appointments7[[#This Row],[Patient_ID]],Billing!$A:$G,6,FALSE)</f>
        <v>Insurance</v>
      </c>
      <c r="AA36" s="52" t="str">
        <f>VLOOKUP(appointments7[[#This Row],[Patient_ID]],Billing!$A:$G,7,FALSE)</f>
        <v>Failed</v>
      </c>
      <c r="AB36" s="2"/>
      <c r="AC36" s="2"/>
    </row>
    <row r="37" spans="1:29" x14ac:dyDescent="0.4">
      <c r="A37" s="51" t="s">
        <v>85</v>
      </c>
      <c r="B37" s="51" t="s">
        <v>86</v>
      </c>
      <c r="C37" s="51" t="s">
        <v>890</v>
      </c>
      <c r="D37" s="51" t="str">
        <f>VLOOKUP(appointments7[[#This Row],[Patient_ID]],Patients!$A:$K,4,FALSE)</f>
        <v>F</v>
      </c>
      <c r="E37" s="52">
        <f>VLOOKUP(appointments7[[#This Row],[Patient_ID]],Patients!$A:$K,5,FALSE)</f>
        <v>25605</v>
      </c>
      <c r="F37" s="51">
        <f>VLOOKUP(appointments7[[#This Row],[Patient_ID]],Patients!$A:$K,6,FALSE)</f>
        <v>7923214041</v>
      </c>
      <c r="G37" s="51" t="str">
        <f>VLOOKUP(appointments7[[#This Row],[Patient_ID]],Patients!$A:$K,7,FALSE)</f>
        <v>789 Pine Rd</v>
      </c>
      <c r="H37" s="52">
        <f>VLOOKUP(appointments7[[#This Row],[Patient_ID]],Patients!$A:$K,8,FALSE)</f>
        <v>45175</v>
      </c>
      <c r="I37" s="51" t="str">
        <f>VLOOKUP(appointments7[[#This Row],[Patient_ID]],Patients!$A:$K,11,FALSE)</f>
        <v>michael.wilson@mail.com</v>
      </c>
      <c r="J37" s="51" t="s">
        <v>25</v>
      </c>
      <c r="K37" s="51" t="s">
        <v>906</v>
      </c>
      <c r="L37" s="51" t="str">
        <f>VLOOKUP(appointments7[[#This Row],[Doctor_ID]],Doctors!$A:$H,4,FALSE)</f>
        <v>Pediatrics</v>
      </c>
      <c r="M37" s="51">
        <f>VLOOKUP(appointments7[[#This Row],[Doctor_ID]],Doctors!$A:$H,5,FALSE)</f>
        <v>8737740598</v>
      </c>
      <c r="N37" s="51" t="str">
        <f>VLOOKUP(appointments7[[#This Row],[Doctor_ID]],Doctors!$A:$H,7,FALSE)</f>
        <v>Eastside Clinic</v>
      </c>
      <c r="O37" s="52">
        <v>44934</v>
      </c>
      <c r="P37" s="53">
        <v>0.60416666666666674</v>
      </c>
      <c r="Q37" s="51" t="s">
        <v>29</v>
      </c>
      <c r="R37" s="51" t="s">
        <v>15</v>
      </c>
      <c r="S37" s="51" t="str">
        <f>VLOOKUP(appointments7[[#This Row],[Appointment_ID]],Treatments!$A:$F,2,FALSE)</f>
        <v>T036</v>
      </c>
      <c r="T37" s="51" t="str">
        <f>VLOOKUP(appointments7[[#This Row],[Appointment_ID]],Treatments!$A:$F,3,FALSE)</f>
        <v>X-Ray</v>
      </c>
      <c r="U37" s="54">
        <f>VLOOKUP(treatments[[#This Row],[appointment_id]],Treatments!$A:$F,5,FALSE)</f>
        <v>4833.17</v>
      </c>
      <c r="V37" s="52">
        <f>VLOOKUP(appointments7[[#This Row],[Appointment_ID]],Treatments!$A:$F,6,FALSE)</f>
        <v>44934</v>
      </c>
      <c r="W37" s="52" t="str">
        <f>VLOOKUP(appointments7[[#This Row],[Patient_ID]],Billing!$A:$G,2,FALSE)</f>
        <v>B036</v>
      </c>
      <c r="X37" s="52">
        <f>VLOOKUP(appointments7[[#This Row],[Patient_ID]],Billing!$A:$H,4,FALSE)</f>
        <v>44934</v>
      </c>
      <c r="Y37" s="54">
        <f>VLOOKUP(appointments7[[#This Row],[Patient_ID]],Billing!$A:$G,5,FALSE)</f>
        <v>4833.17</v>
      </c>
      <c r="Z37" s="54" t="str">
        <f>VLOOKUP(appointments7[[#This Row],[Patient_ID]],Billing!$A:$G,6,FALSE)</f>
        <v>Cash</v>
      </c>
      <c r="AA37" s="52" t="str">
        <f>VLOOKUP(appointments7[[#This Row],[Patient_ID]],Billing!$A:$G,7,FALSE)</f>
        <v>Pending</v>
      </c>
      <c r="AB37" s="2"/>
      <c r="AC37" s="2"/>
    </row>
    <row r="38" spans="1:29" x14ac:dyDescent="0.4">
      <c r="A38" s="51" t="s">
        <v>87</v>
      </c>
      <c r="B38" s="51" t="s">
        <v>70</v>
      </c>
      <c r="C38" s="51" t="s">
        <v>889</v>
      </c>
      <c r="D38" s="51" t="str">
        <f>VLOOKUP(appointments7[[#This Row],[Patient_ID]],Patients!$A:$K,4,FALSE)</f>
        <v>M</v>
      </c>
      <c r="E38" s="52">
        <f>VLOOKUP(appointments7[[#This Row],[Patient_ID]],Patients!$A:$K,5,FALSE)</f>
        <v>23734</v>
      </c>
      <c r="F38" s="51">
        <f>VLOOKUP(appointments7[[#This Row],[Patient_ID]],Patients!$A:$K,6,FALSE)</f>
        <v>6622318721</v>
      </c>
      <c r="G38" s="51" t="str">
        <f>VLOOKUP(appointments7[[#This Row],[Patient_ID]],Patients!$A:$K,7,FALSE)</f>
        <v>456 Oak Ave</v>
      </c>
      <c r="H38" s="52">
        <f>VLOOKUP(appointments7[[#This Row],[Patient_ID]],Patients!$A:$K,8,FALSE)</f>
        <v>44415</v>
      </c>
      <c r="I38" s="51" t="str">
        <f>VLOOKUP(appointments7[[#This Row],[Patient_ID]],Patients!$A:$K,11,FALSE)</f>
        <v>emily.moore@mail.com</v>
      </c>
      <c r="J38" s="51" t="s">
        <v>14</v>
      </c>
      <c r="K38" s="51" t="s">
        <v>909</v>
      </c>
      <c r="L38" s="51" t="str">
        <f>VLOOKUP(appointments7[[#This Row],[Doctor_ID]],Doctors!$A:$H,4,FALSE)</f>
        <v>Pediatrics</v>
      </c>
      <c r="M38" s="51">
        <f>VLOOKUP(appointments7[[#This Row],[Doctor_ID]],Doctors!$A:$H,5,FALSE)</f>
        <v>6594221991</v>
      </c>
      <c r="N38" s="51" t="str">
        <f>VLOOKUP(appointments7[[#This Row],[Doctor_ID]],Doctors!$A:$H,7,FALSE)</f>
        <v>Central Hospital</v>
      </c>
      <c r="O38" s="52">
        <v>45013</v>
      </c>
      <c r="P38" s="53">
        <v>0.45833333333333326</v>
      </c>
      <c r="Q38" s="51" t="s">
        <v>18</v>
      </c>
      <c r="R38" s="51" t="s">
        <v>11</v>
      </c>
      <c r="S38" s="51" t="str">
        <f>VLOOKUP(appointments7[[#This Row],[Appointment_ID]],Treatments!$A:$F,2,FALSE)</f>
        <v>T037</v>
      </c>
      <c r="T38" s="51" t="str">
        <f>VLOOKUP(appointments7[[#This Row],[Appointment_ID]],Treatments!$A:$F,3,FALSE)</f>
        <v>Chemotherapy</v>
      </c>
      <c r="U38" s="54">
        <f>VLOOKUP(treatments[[#This Row],[appointment_id]],Treatments!$A:$F,5,FALSE)</f>
        <v>2675.96</v>
      </c>
      <c r="V38" s="52">
        <f>VLOOKUP(appointments7[[#This Row],[Appointment_ID]],Treatments!$A:$F,6,FALSE)</f>
        <v>45013</v>
      </c>
      <c r="W38" s="52" t="str">
        <f>VLOOKUP(appointments7[[#This Row],[Patient_ID]],Billing!$A:$G,2,FALSE)</f>
        <v>B025</v>
      </c>
      <c r="X38" s="52">
        <f>VLOOKUP(appointments7[[#This Row],[Patient_ID]],Billing!$A:$H,4,FALSE)</f>
        <v>44982</v>
      </c>
      <c r="Y38" s="54">
        <f>VLOOKUP(appointments7[[#This Row],[Patient_ID]],Billing!$A:$G,5,FALSE)</f>
        <v>1726.81</v>
      </c>
      <c r="Z38" s="54" t="str">
        <f>VLOOKUP(appointments7[[#This Row],[Patient_ID]],Billing!$A:$G,6,FALSE)</f>
        <v>Cash</v>
      </c>
      <c r="AA38" s="52" t="str">
        <f>VLOOKUP(appointments7[[#This Row],[Patient_ID]],Billing!$A:$G,7,FALSE)</f>
        <v>Failed</v>
      </c>
      <c r="AB38" s="2"/>
      <c r="AC38" s="2"/>
    </row>
    <row r="39" spans="1:29" x14ac:dyDescent="0.4">
      <c r="A39" s="51" t="s">
        <v>88</v>
      </c>
      <c r="B39" s="51" t="s">
        <v>56</v>
      </c>
      <c r="C39" s="51" t="s">
        <v>885</v>
      </c>
      <c r="D39" s="51" t="str">
        <f>VLOOKUP(appointments7[[#This Row],[Patient_ID]],Patients!$A:$K,4,FALSE)</f>
        <v>M</v>
      </c>
      <c r="E39" s="52">
        <f>VLOOKUP(appointments7[[#This Row],[Patient_ID]],Patients!$A:$K,5,FALSE)</f>
        <v>36196</v>
      </c>
      <c r="F39" s="51">
        <f>VLOOKUP(appointments7[[#This Row],[Patient_ID]],Patients!$A:$K,6,FALSE)</f>
        <v>8886800195</v>
      </c>
      <c r="G39" s="51" t="str">
        <f>VLOOKUP(appointments7[[#This Row],[Patient_ID]],Patients!$A:$K,7,FALSE)</f>
        <v>456 Oak Ave</v>
      </c>
      <c r="H39" s="52">
        <f>VLOOKUP(appointments7[[#This Row],[Patient_ID]],Patients!$A:$K,8,FALSE)</f>
        <v>44469</v>
      </c>
      <c r="I39" s="51" t="str">
        <f>VLOOKUP(appointments7[[#This Row],[Patient_ID]],Patients!$A:$K,11,FALSE)</f>
        <v>robert.williams@mail.com</v>
      </c>
      <c r="J39" s="51" t="s">
        <v>9</v>
      </c>
      <c r="K39" s="51" t="s">
        <v>908</v>
      </c>
      <c r="L39" s="51" t="str">
        <f>VLOOKUP(appointments7[[#This Row],[Doctor_ID]],Doctors!$A:$H,4,FALSE)</f>
        <v>Pediatrics</v>
      </c>
      <c r="M39" s="51">
        <f>VLOOKUP(appointments7[[#This Row],[Doctor_ID]],Doctors!$A:$H,5,FALSE)</f>
        <v>7387087517</v>
      </c>
      <c r="N39" s="51" t="str">
        <f>VLOOKUP(appointments7[[#This Row],[Doctor_ID]],Doctors!$A:$H,7,FALSE)</f>
        <v>Central Hospital</v>
      </c>
      <c r="O39" s="52">
        <v>44980</v>
      </c>
      <c r="P39" s="53">
        <v>0.54166666666666674</v>
      </c>
      <c r="Q39" s="51" t="s">
        <v>18</v>
      </c>
      <c r="R39" s="51" t="s">
        <v>11</v>
      </c>
      <c r="S39" s="51" t="str">
        <f>VLOOKUP(appointments7[[#This Row],[Appointment_ID]],Treatments!$A:$F,2,FALSE)</f>
        <v>T038</v>
      </c>
      <c r="T39" s="51" t="str">
        <f>VLOOKUP(appointments7[[#This Row],[Appointment_ID]],Treatments!$A:$F,3,FALSE)</f>
        <v>MRI</v>
      </c>
      <c r="U39" s="54">
        <f>VLOOKUP(treatments[[#This Row],[appointment_id]],Treatments!$A:$F,5,FALSE)</f>
        <v>4126.97</v>
      </c>
      <c r="V39" s="52">
        <f>VLOOKUP(appointments7[[#This Row],[Appointment_ID]],Treatments!$A:$F,6,FALSE)</f>
        <v>44980</v>
      </c>
      <c r="W39" s="52" t="str">
        <f>VLOOKUP(appointments7[[#This Row],[Patient_ID]],Billing!$A:$G,2,FALSE)</f>
        <v>B017</v>
      </c>
      <c r="X39" s="52">
        <f>VLOOKUP(appointments7[[#This Row],[Patient_ID]],Billing!$A:$H,4,FALSE)</f>
        <v>45118</v>
      </c>
      <c r="Y39" s="54">
        <f>VLOOKUP(appointments7[[#This Row],[Patient_ID]],Billing!$A:$G,5,FALSE)</f>
        <v>1655.49</v>
      </c>
      <c r="Z39" s="54" t="str">
        <f>VLOOKUP(appointments7[[#This Row],[Patient_ID]],Billing!$A:$G,6,FALSE)</f>
        <v>Credit Card</v>
      </c>
      <c r="AA39" s="52" t="str">
        <f>VLOOKUP(appointments7[[#This Row],[Patient_ID]],Billing!$A:$G,7,FALSE)</f>
        <v>Pending</v>
      </c>
      <c r="AB39" s="2"/>
      <c r="AC39" s="2"/>
    </row>
    <row r="40" spans="1:29" x14ac:dyDescent="0.4">
      <c r="A40" s="51" t="s">
        <v>89</v>
      </c>
      <c r="B40" s="51" t="s">
        <v>90</v>
      </c>
      <c r="C40" s="51" t="s">
        <v>891</v>
      </c>
      <c r="D40" s="51" t="str">
        <f>VLOOKUP(appointments7[[#This Row],[Patient_ID]],Patients!$A:$K,4,FALSE)</f>
        <v>M</v>
      </c>
      <c r="E40" s="52">
        <f>VLOOKUP(appointments7[[#This Row],[Patient_ID]],Patients!$A:$K,5,FALSE)</f>
        <v>34387</v>
      </c>
      <c r="F40" s="51">
        <f>VLOOKUP(appointments7[[#This Row],[Patient_ID]],Patients!$A:$K,6,FALSE)</f>
        <v>6141951830</v>
      </c>
      <c r="G40" s="51" t="str">
        <f>VLOOKUP(appointments7[[#This Row],[Patient_ID]],Patients!$A:$K,7,FALSE)</f>
        <v>789 Pine Rd</v>
      </c>
      <c r="H40" s="52">
        <f>VLOOKUP(appointments7[[#This Row],[Patient_ID]],Patients!$A:$K,8,FALSE)</f>
        <v>44557</v>
      </c>
      <c r="I40" s="51" t="str">
        <f>VLOOKUP(appointments7[[#This Row],[Patient_ID]],Patients!$A:$K,11,FALSE)</f>
        <v>linda.johnson@mail.com</v>
      </c>
      <c r="J40" s="51" t="s">
        <v>48</v>
      </c>
      <c r="K40" s="51" t="s">
        <v>913</v>
      </c>
      <c r="L40" s="51" t="str">
        <f>VLOOKUP(appointments7[[#This Row],[Doctor_ID]],Doctors!$A:$H,4,FALSE)</f>
        <v>Pediatrics</v>
      </c>
      <c r="M40" s="51">
        <f>VLOOKUP(appointments7[[#This Row],[Doctor_ID]],Doctors!$A:$H,5,FALSE)</f>
        <v>9004382050</v>
      </c>
      <c r="N40" s="51" t="str">
        <f>VLOOKUP(appointments7[[#This Row],[Doctor_ID]],Doctors!$A:$H,7,FALSE)</f>
        <v>Eastside Clinic</v>
      </c>
      <c r="O40" s="52">
        <v>45033</v>
      </c>
      <c r="P40" s="53">
        <v>0.33333333333333326</v>
      </c>
      <c r="Q40" s="51" t="s">
        <v>38</v>
      </c>
      <c r="R40" s="51" t="s">
        <v>11</v>
      </c>
      <c r="S40" s="51" t="str">
        <f>VLOOKUP(appointments7[[#This Row],[Appointment_ID]],Treatments!$A:$F,2,FALSE)</f>
        <v>T039</v>
      </c>
      <c r="T40" s="51" t="str">
        <f>VLOOKUP(appointments7[[#This Row],[Appointment_ID]],Treatments!$A:$F,3,FALSE)</f>
        <v>Physiotherapy</v>
      </c>
      <c r="U40" s="54">
        <f>VLOOKUP(treatments[[#This Row],[appointment_id]],Treatments!$A:$F,5,FALSE)</f>
        <v>2976.02</v>
      </c>
      <c r="V40" s="52">
        <f>VLOOKUP(appointments7[[#This Row],[Appointment_ID]],Treatments!$A:$F,6,FALSE)</f>
        <v>45033</v>
      </c>
      <c r="W40" s="52" t="str">
        <f>VLOOKUP(appointments7[[#This Row],[Patient_ID]],Billing!$A:$G,2,FALSE)</f>
        <v>B039</v>
      </c>
      <c r="X40" s="52">
        <f>VLOOKUP(appointments7[[#This Row],[Patient_ID]],Billing!$A:$H,4,FALSE)</f>
        <v>45033</v>
      </c>
      <c r="Y40" s="54">
        <f>VLOOKUP(appointments7[[#This Row],[Patient_ID]],Billing!$A:$G,5,FALSE)</f>
        <v>2976.02</v>
      </c>
      <c r="Z40" s="54" t="str">
        <f>VLOOKUP(appointments7[[#This Row],[Patient_ID]],Billing!$A:$G,6,FALSE)</f>
        <v>Insurance</v>
      </c>
      <c r="AA40" s="52" t="str">
        <f>VLOOKUP(appointments7[[#This Row],[Patient_ID]],Billing!$A:$G,7,FALSE)</f>
        <v>Failed</v>
      </c>
      <c r="AB40" s="2"/>
      <c r="AC40" s="2"/>
    </row>
    <row r="41" spans="1:29" x14ac:dyDescent="0.4">
      <c r="A41" s="51" t="s">
        <v>91</v>
      </c>
      <c r="B41" s="51" t="s">
        <v>92</v>
      </c>
      <c r="C41" s="51" t="s">
        <v>877</v>
      </c>
      <c r="D41" s="51" t="str">
        <f>VLOOKUP(appointments7[[#This Row],[Patient_ID]],Patients!$A:$K,4,FALSE)</f>
        <v>M</v>
      </c>
      <c r="E41" s="52">
        <f>VLOOKUP(appointments7[[#This Row],[Patient_ID]],Patients!$A:$K,5,FALSE)</f>
        <v>37177</v>
      </c>
      <c r="F41" s="51">
        <f>VLOOKUP(appointments7[[#This Row],[Patient_ID]],Patients!$A:$K,6,FALSE)</f>
        <v>7081396733</v>
      </c>
      <c r="G41" s="51" t="str">
        <f>VLOOKUP(appointments7[[#This Row],[Patient_ID]],Patients!$A:$K,7,FALSE)</f>
        <v>123 Elm St</v>
      </c>
      <c r="H41" s="52">
        <f>VLOOKUP(appointments7[[#This Row],[Patient_ID]],Patients!$A:$K,8,FALSE)</f>
        <v>44797</v>
      </c>
      <c r="I41" s="51" t="str">
        <f>VLOOKUP(appointments7[[#This Row],[Patient_ID]],Patients!$A:$K,11,FALSE)</f>
        <v>michael.taylor@mail.com</v>
      </c>
      <c r="J41" s="51" t="s">
        <v>9</v>
      </c>
      <c r="K41" s="51" t="s">
        <v>908</v>
      </c>
      <c r="L41" s="51" t="str">
        <f>VLOOKUP(appointments7[[#This Row],[Doctor_ID]],Doctors!$A:$H,4,FALSE)</f>
        <v>Pediatrics</v>
      </c>
      <c r="M41" s="51">
        <f>VLOOKUP(appointments7[[#This Row],[Doctor_ID]],Doctors!$A:$H,5,FALSE)</f>
        <v>7387087517</v>
      </c>
      <c r="N41" s="51" t="str">
        <f>VLOOKUP(appointments7[[#This Row],[Doctor_ID]],Doctors!$A:$H,7,FALSE)</f>
        <v>Central Hospital</v>
      </c>
      <c r="O41" s="52">
        <v>45012</v>
      </c>
      <c r="P41" s="53">
        <v>0.52083333333333326</v>
      </c>
      <c r="Q41" s="51" t="s">
        <v>10</v>
      </c>
      <c r="R41" s="51" t="s">
        <v>41</v>
      </c>
      <c r="S41" s="51" t="str">
        <f>VLOOKUP(appointments7[[#This Row],[Appointment_ID]],Treatments!$A:$F,2,FALSE)</f>
        <v>T040</v>
      </c>
      <c r="T41" s="51" t="str">
        <f>VLOOKUP(appointments7[[#This Row],[Appointment_ID]],Treatments!$A:$F,3,FALSE)</f>
        <v>Chemotherapy</v>
      </c>
      <c r="U41" s="54">
        <f>VLOOKUP(treatments[[#This Row],[appointment_id]],Treatments!$A:$F,5,FALSE)</f>
        <v>695.36</v>
      </c>
      <c r="V41" s="52">
        <f>VLOOKUP(appointments7[[#This Row],[Appointment_ID]],Treatments!$A:$F,6,FALSE)</f>
        <v>45012</v>
      </c>
      <c r="W41" s="52" t="str">
        <f>VLOOKUP(appointments7[[#This Row],[Patient_ID]],Billing!$A:$G,2,FALSE)</f>
        <v>B040</v>
      </c>
      <c r="X41" s="52">
        <f>VLOOKUP(appointments7[[#This Row],[Patient_ID]],Billing!$A:$H,4,FALSE)</f>
        <v>45012</v>
      </c>
      <c r="Y41" s="54">
        <f>VLOOKUP(appointments7[[#This Row],[Patient_ID]],Billing!$A:$G,5,FALSE)</f>
        <v>695.36</v>
      </c>
      <c r="Z41" s="54" t="str">
        <f>VLOOKUP(appointments7[[#This Row],[Patient_ID]],Billing!$A:$G,6,FALSE)</f>
        <v>Cash</v>
      </c>
      <c r="AA41" s="52" t="str">
        <f>VLOOKUP(appointments7[[#This Row],[Patient_ID]],Billing!$A:$G,7,FALSE)</f>
        <v>Failed</v>
      </c>
      <c r="AB41" s="2"/>
      <c r="AC41" s="2"/>
    </row>
    <row r="42" spans="1:29" x14ac:dyDescent="0.4">
      <c r="A42" s="51" t="s">
        <v>93</v>
      </c>
      <c r="B42" s="51" t="s">
        <v>40</v>
      </c>
      <c r="C42" s="51" t="s">
        <v>879</v>
      </c>
      <c r="D42" s="51" t="str">
        <f>VLOOKUP(appointments7[[#This Row],[Patient_ID]],Patients!$A:$K,4,FALSE)</f>
        <v>M</v>
      </c>
      <c r="E42" s="52">
        <f>VLOOKUP(appointments7[[#This Row],[Patient_ID]],Patients!$A:$K,5,FALSE)</f>
        <v>22090</v>
      </c>
      <c r="F42" s="51">
        <f>VLOOKUP(appointments7[[#This Row],[Patient_ID]],Patients!$A:$K,6,FALSE)</f>
        <v>7734463155</v>
      </c>
      <c r="G42" s="51" t="str">
        <f>VLOOKUP(appointments7[[#This Row],[Patient_ID]],Patients!$A:$K,7,FALSE)</f>
        <v>123 Elm St</v>
      </c>
      <c r="H42" s="52">
        <f>VLOOKUP(appointments7[[#This Row],[Patient_ID]],Patients!$A:$K,8,FALSE)</f>
        <v>44468</v>
      </c>
      <c r="I42" s="51" t="str">
        <f>VLOOKUP(appointments7[[#This Row],[Patient_ID]],Patients!$A:$K,11,FALSE)</f>
        <v>david.wilson@mail.com</v>
      </c>
      <c r="J42" s="51" t="s">
        <v>59</v>
      </c>
      <c r="K42" s="51" t="s">
        <v>914</v>
      </c>
      <c r="L42" s="51" t="str">
        <f>VLOOKUP(appointments7[[#This Row],[Doctor_ID]],Doctors!$A:$H,4,FALSE)</f>
        <v>Dermatology</v>
      </c>
      <c r="M42" s="51">
        <f>VLOOKUP(appointments7[[#This Row],[Doctor_ID]],Doctors!$A:$H,5,FALSE)</f>
        <v>8322010158</v>
      </c>
      <c r="N42" s="51" t="str">
        <f>VLOOKUP(appointments7[[#This Row],[Doctor_ID]],Doctors!$A:$H,7,FALSE)</f>
        <v>Westside Clinic</v>
      </c>
      <c r="O42" s="52">
        <v>44927</v>
      </c>
      <c r="P42" s="53">
        <v>0.58333333333333326</v>
      </c>
      <c r="Q42" s="51" t="s">
        <v>26</v>
      </c>
      <c r="R42" s="51" t="s">
        <v>15</v>
      </c>
      <c r="S42" s="51" t="str">
        <f>VLOOKUP(appointments7[[#This Row],[Appointment_ID]],Treatments!$A:$F,2,FALSE)</f>
        <v>T041</v>
      </c>
      <c r="T42" s="51" t="str">
        <f>VLOOKUP(appointments7[[#This Row],[Appointment_ID]],Treatments!$A:$F,3,FALSE)</f>
        <v>Physiotherapy</v>
      </c>
      <c r="U42" s="54">
        <f>VLOOKUP(treatments[[#This Row],[appointment_id]],Treatments!$A:$F,5,FALSE)</f>
        <v>3349.18</v>
      </c>
      <c r="V42" s="52">
        <f>VLOOKUP(appointments7[[#This Row],[Appointment_ID]],Treatments!$A:$F,6,FALSE)</f>
        <v>44927</v>
      </c>
      <c r="W42" s="52" t="str">
        <f>VLOOKUP(appointments7[[#This Row],[Patient_ID]],Billing!$A:$G,2,FALSE)</f>
        <v>B010</v>
      </c>
      <c r="X42" s="52">
        <f>VLOOKUP(appointments7[[#This Row],[Patient_ID]],Billing!$A:$H,4,FALSE)</f>
        <v>44939</v>
      </c>
      <c r="Y42" s="54">
        <f>VLOOKUP(appointments7[[#This Row],[Patient_ID]],Billing!$A:$G,5,FALSE)</f>
        <v>1595.67</v>
      </c>
      <c r="Z42" s="54" t="str">
        <f>VLOOKUP(appointments7[[#This Row],[Patient_ID]],Billing!$A:$G,6,FALSE)</f>
        <v>Cash</v>
      </c>
      <c r="AA42" s="52" t="str">
        <f>VLOOKUP(appointments7[[#This Row],[Patient_ID]],Billing!$A:$G,7,FALSE)</f>
        <v>Paid</v>
      </c>
      <c r="AB42" s="2"/>
      <c r="AC42" s="2"/>
    </row>
    <row r="43" spans="1:29" x14ac:dyDescent="0.4">
      <c r="A43" s="51" t="s">
        <v>94</v>
      </c>
      <c r="B43" s="51" t="s">
        <v>84</v>
      </c>
      <c r="C43" s="51" t="s">
        <v>890</v>
      </c>
      <c r="D43" s="51" t="str">
        <f>VLOOKUP(appointments7[[#This Row],[Patient_ID]],Patients!$A:$K,4,FALSE)</f>
        <v>M</v>
      </c>
      <c r="E43" s="52">
        <f>VLOOKUP(appointments7[[#This Row],[Patient_ID]],Patients!$A:$K,5,FALSE)</f>
        <v>35790</v>
      </c>
      <c r="F43" s="51">
        <f>VLOOKUP(appointments7[[#This Row],[Patient_ID]],Patients!$A:$K,6,FALSE)</f>
        <v>8545613046</v>
      </c>
      <c r="G43" s="51" t="str">
        <f>VLOOKUP(appointments7[[#This Row],[Patient_ID]],Patients!$A:$K,7,FALSE)</f>
        <v>123 Elm St</v>
      </c>
      <c r="H43" s="52">
        <f>VLOOKUP(appointments7[[#This Row],[Patient_ID]],Patients!$A:$K,8,FALSE)</f>
        <v>44838</v>
      </c>
      <c r="I43" s="51" t="str">
        <f>VLOOKUP(appointments7[[#This Row],[Patient_ID]],Patients!$A:$K,11,FALSE)</f>
        <v>michael.wilson@mail.com</v>
      </c>
      <c r="J43" s="51" t="s">
        <v>59</v>
      </c>
      <c r="K43" s="51" t="s">
        <v>914</v>
      </c>
      <c r="L43" s="51" t="str">
        <f>VLOOKUP(appointments7[[#This Row],[Doctor_ID]],Doctors!$A:$H,4,FALSE)</f>
        <v>Dermatology</v>
      </c>
      <c r="M43" s="51">
        <f>VLOOKUP(appointments7[[#This Row],[Doctor_ID]],Doctors!$A:$H,5,FALSE)</f>
        <v>8322010158</v>
      </c>
      <c r="N43" s="51" t="str">
        <f>VLOOKUP(appointments7[[#This Row],[Doctor_ID]],Doctors!$A:$H,7,FALSE)</f>
        <v>Westside Clinic</v>
      </c>
      <c r="O43" s="52">
        <v>45006</v>
      </c>
      <c r="P43" s="53">
        <v>0.46875</v>
      </c>
      <c r="Q43" s="51" t="s">
        <v>26</v>
      </c>
      <c r="R43" s="51" t="s">
        <v>11</v>
      </c>
      <c r="S43" s="51" t="str">
        <f>VLOOKUP(appointments7[[#This Row],[Appointment_ID]],Treatments!$A:$F,2,FALSE)</f>
        <v>T042</v>
      </c>
      <c r="T43" s="51" t="str">
        <f>VLOOKUP(appointments7[[#This Row],[Appointment_ID]],Treatments!$A:$F,3,FALSE)</f>
        <v>Chemotherapy</v>
      </c>
      <c r="U43" s="54">
        <f>VLOOKUP(treatments[[#This Row],[appointment_id]],Treatments!$A:$F,5,FALSE)</f>
        <v>4781.32</v>
      </c>
      <c r="V43" s="52">
        <f>VLOOKUP(appointments7[[#This Row],[Appointment_ID]],Treatments!$A:$F,6,FALSE)</f>
        <v>45006</v>
      </c>
      <c r="W43" s="52" t="str">
        <f>VLOOKUP(appointments7[[#This Row],[Patient_ID]],Billing!$A:$G,2,FALSE)</f>
        <v>B035</v>
      </c>
      <c r="X43" s="52">
        <f>VLOOKUP(appointments7[[#This Row],[Patient_ID]],Billing!$A:$H,4,FALSE)</f>
        <v>45034</v>
      </c>
      <c r="Y43" s="54">
        <f>VLOOKUP(appointments7[[#This Row],[Patient_ID]],Billing!$A:$G,5,FALSE)</f>
        <v>1654.53</v>
      </c>
      <c r="Z43" s="54" t="str">
        <f>VLOOKUP(appointments7[[#This Row],[Patient_ID]],Billing!$A:$G,6,FALSE)</f>
        <v>Insurance</v>
      </c>
      <c r="AA43" s="52" t="str">
        <f>VLOOKUP(appointments7[[#This Row],[Patient_ID]],Billing!$A:$G,7,FALSE)</f>
        <v>Failed</v>
      </c>
      <c r="AB43" s="2"/>
      <c r="AC43" s="2"/>
    </row>
    <row r="44" spans="1:29" x14ac:dyDescent="0.4">
      <c r="A44" s="51" t="s">
        <v>95</v>
      </c>
      <c r="B44" s="51" t="s">
        <v>8</v>
      </c>
      <c r="C44" s="51" t="s">
        <v>870</v>
      </c>
      <c r="D44" s="51" t="str">
        <f>VLOOKUP(appointments7[[#This Row],[Patient_ID]],Patients!$A:$K,4,FALSE)</f>
        <v>F</v>
      </c>
      <c r="E44" s="52">
        <f>VLOOKUP(appointments7[[#This Row],[Patient_ID]],Patients!$A:$K,5,FALSE)</f>
        <v>18289</v>
      </c>
      <c r="F44" s="51">
        <f>VLOOKUP(appointments7[[#This Row],[Patient_ID]],Patients!$A:$K,6,FALSE)</f>
        <v>8374657733</v>
      </c>
      <c r="G44" s="51" t="str">
        <f>VLOOKUP(appointments7[[#This Row],[Patient_ID]],Patients!$A:$K,7,FALSE)</f>
        <v>321 Maple Dr</v>
      </c>
      <c r="H44" s="52">
        <f>VLOOKUP(appointments7[[#This Row],[Patient_ID]],Patients!$A:$K,8,FALSE)</f>
        <v>45095</v>
      </c>
      <c r="I44" s="51" t="str">
        <f>VLOOKUP(appointments7[[#This Row],[Patient_ID]],Patients!$A:$K,11,FALSE)</f>
        <v>alex.smith@mail.com</v>
      </c>
      <c r="J44" s="51" t="s">
        <v>74</v>
      </c>
      <c r="K44" s="51" t="s">
        <v>915</v>
      </c>
      <c r="L44" s="51" t="str">
        <f>VLOOKUP(appointments7[[#This Row],[Doctor_ID]],Doctors!$A:$H,4,FALSE)</f>
        <v>Dermatology</v>
      </c>
      <c r="M44" s="51">
        <f>VLOOKUP(appointments7[[#This Row],[Doctor_ID]],Doctors!$A:$H,5,FALSE)</f>
        <v>9118538547</v>
      </c>
      <c r="N44" s="51" t="str">
        <f>VLOOKUP(appointments7[[#This Row],[Doctor_ID]],Doctors!$A:$H,7,FALSE)</f>
        <v>Central Hospital</v>
      </c>
      <c r="O44" s="52">
        <v>45014</v>
      </c>
      <c r="P44" s="53">
        <v>0.38541666666666674</v>
      </c>
      <c r="Q44" s="51" t="s">
        <v>18</v>
      </c>
      <c r="R44" s="51" t="s">
        <v>15</v>
      </c>
      <c r="S44" s="51" t="str">
        <f>VLOOKUP(appointments7[[#This Row],[Appointment_ID]],Treatments!$A:$F,2,FALSE)</f>
        <v>T043</v>
      </c>
      <c r="T44" s="51" t="str">
        <f>VLOOKUP(appointments7[[#This Row],[Appointment_ID]],Treatments!$A:$F,3,FALSE)</f>
        <v>X-Ray</v>
      </c>
      <c r="U44" s="54">
        <f>VLOOKUP(treatments[[#This Row],[appointment_id]],Treatments!$A:$F,5,FALSE)</f>
        <v>3207.25</v>
      </c>
      <c r="V44" s="52">
        <f>VLOOKUP(appointments7[[#This Row],[Appointment_ID]],Treatments!$A:$F,6,FALSE)</f>
        <v>45014</v>
      </c>
      <c r="W44" s="52" t="str">
        <f>VLOOKUP(appointments7[[#This Row],[Patient_ID]],Billing!$A:$G,2,FALSE)</f>
        <v>B001</v>
      </c>
      <c r="X44" s="52">
        <f>VLOOKUP(appointments7[[#This Row],[Patient_ID]],Billing!$A:$H,4,FALSE)</f>
        <v>45147</v>
      </c>
      <c r="Y44" s="54">
        <f>VLOOKUP(appointments7[[#This Row],[Patient_ID]],Billing!$A:$G,5,FALSE)</f>
        <v>3941.97</v>
      </c>
      <c r="Z44" s="54" t="str">
        <f>VLOOKUP(appointments7[[#This Row],[Patient_ID]],Billing!$A:$G,6,FALSE)</f>
        <v>Insurance</v>
      </c>
      <c r="AA44" s="52" t="str">
        <f>VLOOKUP(appointments7[[#This Row],[Patient_ID]],Billing!$A:$G,7,FALSE)</f>
        <v>Pending</v>
      </c>
      <c r="AB44" s="2"/>
      <c r="AC44" s="2"/>
    </row>
    <row r="45" spans="1:29" x14ac:dyDescent="0.4">
      <c r="A45" s="51" t="s">
        <v>96</v>
      </c>
      <c r="B45" s="51" t="s">
        <v>97</v>
      </c>
      <c r="C45" s="51" t="s">
        <v>892</v>
      </c>
      <c r="D45" s="51" t="str">
        <f>VLOOKUP(appointments7[[#This Row],[Patient_ID]],Patients!$A:$K,4,FALSE)</f>
        <v>M</v>
      </c>
      <c r="E45" s="52">
        <f>VLOOKUP(appointments7[[#This Row],[Patient_ID]],Patients!$A:$K,5,FALSE)</f>
        <v>31791</v>
      </c>
      <c r="F45" s="51">
        <f>VLOOKUP(appointments7[[#This Row],[Patient_ID]],Patients!$A:$K,6,FALSE)</f>
        <v>8280346676</v>
      </c>
      <c r="G45" s="51" t="str">
        <f>VLOOKUP(appointments7[[#This Row],[Patient_ID]],Patients!$A:$K,7,FALSE)</f>
        <v>321 Maple Dr</v>
      </c>
      <c r="H45" s="52">
        <f>VLOOKUP(appointments7[[#This Row],[Patient_ID]],Patients!$A:$K,8,FALSE)</f>
        <v>44740</v>
      </c>
      <c r="I45" s="51" t="str">
        <f>VLOOKUP(appointments7[[#This Row],[Patient_ID]],Patients!$A:$K,11,FALSE)</f>
        <v>robert.miller@mail.com</v>
      </c>
      <c r="J45" s="51" t="s">
        <v>22</v>
      </c>
      <c r="K45" s="51" t="s">
        <v>910</v>
      </c>
      <c r="L45" s="51" t="str">
        <f>VLOOKUP(appointments7[[#This Row],[Doctor_ID]],Doctors!$A:$H,4,FALSE)</f>
        <v>Pediatrics</v>
      </c>
      <c r="M45" s="51">
        <f>VLOOKUP(appointments7[[#This Row],[Doctor_ID]],Doctors!$A:$H,5,FALSE)</f>
        <v>6570137231</v>
      </c>
      <c r="N45" s="51" t="str">
        <f>VLOOKUP(appointments7[[#This Row],[Doctor_ID]],Doctors!$A:$H,7,FALSE)</f>
        <v>Central Hospital</v>
      </c>
      <c r="O45" s="52">
        <v>45189</v>
      </c>
      <c r="P45" s="53">
        <v>0.52083333333333326</v>
      </c>
      <c r="Q45" s="51" t="s">
        <v>38</v>
      </c>
      <c r="R45" s="51" t="s">
        <v>41</v>
      </c>
      <c r="S45" s="51" t="str">
        <f>VLOOKUP(appointments7[[#This Row],[Appointment_ID]],Treatments!$A:$F,2,FALSE)</f>
        <v>T044</v>
      </c>
      <c r="T45" s="51" t="str">
        <f>VLOOKUP(appointments7[[#This Row],[Appointment_ID]],Treatments!$A:$F,3,FALSE)</f>
        <v>MRI</v>
      </c>
      <c r="U45" s="54">
        <f>VLOOKUP(treatments[[#This Row],[appointment_id]],Treatments!$A:$F,5,FALSE)</f>
        <v>4186.3500000000004</v>
      </c>
      <c r="V45" s="52">
        <f>VLOOKUP(appointments7[[#This Row],[Appointment_ID]],Treatments!$A:$F,6,FALSE)</f>
        <v>45189</v>
      </c>
      <c r="W45" s="52" t="str">
        <f>VLOOKUP(appointments7[[#This Row],[Patient_ID]],Billing!$A:$G,2,FALSE)</f>
        <v>B044</v>
      </c>
      <c r="X45" s="52">
        <f>VLOOKUP(appointments7[[#This Row],[Patient_ID]],Billing!$A:$H,4,FALSE)</f>
        <v>45189</v>
      </c>
      <c r="Y45" s="54">
        <f>VLOOKUP(appointments7[[#This Row],[Patient_ID]],Billing!$A:$G,5,FALSE)</f>
        <v>4186.3500000000004</v>
      </c>
      <c r="Z45" s="54" t="str">
        <f>VLOOKUP(appointments7[[#This Row],[Patient_ID]],Billing!$A:$G,6,FALSE)</f>
        <v>Insurance</v>
      </c>
      <c r="AA45" s="52" t="str">
        <f>VLOOKUP(appointments7[[#This Row],[Patient_ID]],Billing!$A:$G,7,FALSE)</f>
        <v>Paid</v>
      </c>
      <c r="AB45" s="2"/>
      <c r="AC45" s="2"/>
    </row>
    <row r="46" spans="1:29" x14ac:dyDescent="0.4">
      <c r="A46" s="51" t="s">
        <v>98</v>
      </c>
      <c r="B46" s="51" t="s">
        <v>92</v>
      </c>
      <c r="C46" s="51" t="s">
        <v>877</v>
      </c>
      <c r="D46" s="51" t="str">
        <f>VLOOKUP(appointments7[[#This Row],[Patient_ID]],Patients!$A:$K,4,FALSE)</f>
        <v>M</v>
      </c>
      <c r="E46" s="52">
        <f>VLOOKUP(appointments7[[#This Row],[Patient_ID]],Patients!$A:$K,5,FALSE)</f>
        <v>37177</v>
      </c>
      <c r="F46" s="51">
        <f>VLOOKUP(appointments7[[#This Row],[Patient_ID]],Patients!$A:$K,6,FALSE)</f>
        <v>7081396733</v>
      </c>
      <c r="G46" s="51" t="str">
        <f>VLOOKUP(appointments7[[#This Row],[Patient_ID]],Patients!$A:$K,7,FALSE)</f>
        <v>123 Elm St</v>
      </c>
      <c r="H46" s="52">
        <f>VLOOKUP(appointments7[[#This Row],[Patient_ID]],Patients!$A:$K,8,FALSE)</f>
        <v>44797</v>
      </c>
      <c r="I46" s="51" t="str">
        <f>VLOOKUP(appointments7[[#This Row],[Patient_ID]],Patients!$A:$K,11,FALSE)</f>
        <v>michael.taylor@mail.com</v>
      </c>
      <c r="J46" s="51" t="s">
        <v>22</v>
      </c>
      <c r="K46" s="51" t="s">
        <v>910</v>
      </c>
      <c r="L46" s="51" t="str">
        <f>VLOOKUP(appointments7[[#This Row],[Doctor_ID]],Doctors!$A:$H,4,FALSE)</f>
        <v>Pediatrics</v>
      </c>
      <c r="M46" s="51">
        <f>VLOOKUP(appointments7[[#This Row],[Doctor_ID]],Doctors!$A:$H,5,FALSE)</f>
        <v>6570137231</v>
      </c>
      <c r="N46" s="51" t="str">
        <f>VLOOKUP(appointments7[[#This Row],[Doctor_ID]],Doctors!$A:$H,7,FALSE)</f>
        <v>Central Hospital</v>
      </c>
      <c r="O46" s="52">
        <v>45197</v>
      </c>
      <c r="P46" s="53">
        <v>0.70833333333333326</v>
      </c>
      <c r="Q46" s="51" t="s">
        <v>26</v>
      </c>
      <c r="R46" s="51" t="s">
        <v>11</v>
      </c>
      <c r="S46" s="51" t="str">
        <f>VLOOKUP(appointments7[[#This Row],[Appointment_ID]],Treatments!$A:$F,2,FALSE)</f>
        <v>T045</v>
      </c>
      <c r="T46" s="51" t="str">
        <f>VLOOKUP(appointments7[[#This Row],[Appointment_ID]],Treatments!$A:$F,3,FALSE)</f>
        <v>Chemotherapy</v>
      </c>
      <c r="U46" s="54">
        <f>VLOOKUP(treatments[[#This Row],[appointment_id]],Treatments!$A:$F,5,FALSE)</f>
        <v>4478.93</v>
      </c>
      <c r="V46" s="52">
        <f>VLOOKUP(appointments7[[#This Row],[Appointment_ID]],Treatments!$A:$F,6,FALSE)</f>
        <v>45197</v>
      </c>
      <c r="W46" s="52" t="str">
        <f>VLOOKUP(appointments7[[#This Row],[Patient_ID]],Billing!$A:$G,2,FALSE)</f>
        <v>B040</v>
      </c>
      <c r="X46" s="52">
        <f>VLOOKUP(appointments7[[#This Row],[Patient_ID]],Billing!$A:$H,4,FALSE)</f>
        <v>45012</v>
      </c>
      <c r="Y46" s="54">
        <f>VLOOKUP(appointments7[[#This Row],[Patient_ID]],Billing!$A:$G,5,FALSE)</f>
        <v>695.36</v>
      </c>
      <c r="Z46" s="54" t="str">
        <f>VLOOKUP(appointments7[[#This Row],[Patient_ID]],Billing!$A:$G,6,FALSE)</f>
        <v>Cash</v>
      </c>
      <c r="AA46" s="52" t="str">
        <f>VLOOKUP(appointments7[[#This Row],[Patient_ID]],Billing!$A:$G,7,FALSE)</f>
        <v>Failed</v>
      </c>
      <c r="AB46" s="2"/>
      <c r="AC46" s="2"/>
    </row>
    <row r="47" spans="1:29" x14ac:dyDescent="0.4">
      <c r="A47" s="51" t="s">
        <v>99</v>
      </c>
      <c r="B47" s="51" t="s">
        <v>100</v>
      </c>
      <c r="C47" s="51" t="s">
        <v>893</v>
      </c>
      <c r="D47" s="51" t="str">
        <f>VLOOKUP(appointments7[[#This Row],[Patient_ID]],Patients!$A:$K,4,FALSE)</f>
        <v>M</v>
      </c>
      <c r="E47" s="52">
        <f>VLOOKUP(appointments7[[#This Row],[Patient_ID]],Patients!$A:$K,5,FALSE)</f>
        <v>27538</v>
      </c>
      <c r="F47" s="51">
        <f>VLOOKUP(appointments7[[#This Row],[Patient_ID]],Patients!$A:$K,6,FALSE)</f>
        <v>8618058864</v>
      </c>
      <c r="G47" s="51" t="str">
        <f>VLOOKUP(appointments7[[#This Row],[Patient_ID]],Patients!$A:$K,7,FALSE)</f>
        <v>789 Pine Rd</v>
      </c>
      <c r="H47" s="52">
        <f>VLOOKUP(appointments7[[#This Row],[Patient_ID]],Patients!$A:$K,8,FALSE)</f>
        <v>45101</v>
      </c>
      <c r="I47" s="51" t="str">
        <f>VLOOKUP(appointments7[[#This Row],[Patient_ID]],Patients!$A:$K,11,FALSE)</f>
        <v>sarah.miller@mail.com</v>
      </c>
      <c r="J47" s="51" t="s">
        <v>25</v>
      </c>
      <c r="K47" s="51" t="s">
        <v>906</v>
      </c>
      <c r="L47" s="51" t="str">
        <f>VLOOKUP(appointments7[[#This Row],[Doctor_ID]],Doctors!$A:$H,4,FALSE)</f>
        <v>Pediatrics</v>
      </c>
      <c r="M47" s="51">
        <f>VLOOKUP(appointments7[[#This Row],[Doctor_ID]],Doctors!$A:$H,5,FALSE)</f>
        <v>8737740598</v>
      </c>
      <c r="N47" s="51" t="str">
        <f>VLOOKUP(appointments7[[#This Row],[Doctor_ID]],Doctors!$A:$H,7,FALSE)</f>
        <v>Eastside Clinic</v>
      </c>
      <c r="O47" s="52">
        <v>45280</v>
      </c>
      <c r="P47" s="53">
        <v>0.55208333333333326</v>
      </c>
      <c r="Q47" s="51" t="s">
        <v>18</v>
      </c>
      <c r="R47" s="51" t="s">
        <v>19</v>
      </c>
      <c r="S47" s="51" t="str">
        <f>VLOOKUP(appointments7[[#This Row],[Appointment_ID]],Treatments!$A:$F,2,FALSE)</f>
        <v>T046</v>
      </c>
      <c r="T47" s="51" t="str">
        <f>VLOOKUP(appointments7[[#This Row],[Appointment_ID]],Treatments!$A:$F,3,FALSE)</f>
        <v>ECG</v>
      </c>
      <c r="U47" s="54">
        <f>VLOOKUP(treatments[[#This Row],[appointment_id]],Treatments!$A:$F,5,FALSE)</f>
        <v>1526.36</v>
      </c>
      <c r="V47" s="52">
        <f>VLOOKUP(appointments7[[#This Row],[Appointment_ID]],Treatments!$A:$F,6,FALSE)</f>
        <v>45280</v>
      </c>
      <c r="W47" s="52" t="str">
        <f>VLOOKUP(appointments7[[#This Row],[Patient_ID]],Billing!$A:$G,2,FALSE)</f>
        <v>B046</v>
      </c>
      <c r="X47" s="52">
        <f>VLOOKUP(appointments7[[#This Row],[Patient_ID]],Billing!$A:$H,4,FALSE)</f>
        <v>45280</v>
      </c>
      <c r="Y47" s="54">
        <f>VLOOKUP(appointments7[[#This Row],[Patient_ID]],Billing!$A:$G,5,FALSE)</f>
        <v>1526.36</v>
      </c>
      <c r="Z47" s="54" t="str">
        <f>VLOOKUP(appointments7[[#This Row],[Patient_ID]],Billing!$A:$G,6,FALSE)</f>
        <v>Cash</v>
      </c>
      <c r="AA47" s="52" t="str">
        <f>VLOOKUP(appointments7[[#This Row],[Patient_ID]],Billing!$A:$G,7,FALSE)</f>
        <v>Paid</v>
      </c>
      <c r="AB47" s="2"/>
      <c r="AC47" s="2"/>
    </row>
    <row r="48" spans="1:29" x14ac:dyDescent="0.4">
      <c r="A48" s="51" t="s">
        <v>101</v>
      </c>
      <c r="B48" s="51" t="s">
        <v>13</v>
      </c>
      <c r="C48" s="51" t="s">
        <v>871</v>
      </c>
      <c r="D48" s="51" t="str">
        <f>VLOOKUP(appointments7[[#This Row],[Patient_ID]],Patients!$A:$K,4,FALSE)</f>
        <v>M</v>
      </c>
      <c r="E48" s="52">
        <f>VLOOKUP(appointments7[[#This Row],[Patient_ID]],Patients!$A:$K,5,FALSE)</f>
        <v>29594</v>
      </c>
      <c r="F48" s="51">
        <f>VLOOKUP(appointments7[[#This Row],[Patient_ID]],Patients!$A:$K,6,FALSE)</f>
        <v>8102183595</v>
      </c>
      <c r="G48" s="51" t="str">
        <f>VLOOKUP(appointments7[[#This Row],[Patient_ID]],Patients!$A:$K,7,FALSE)</f>
        <v>123 Elm St</v>
      </c>
      <c r="H48" s="52">
        <f>VLOOKUP(appointments7[[#This Row],[Patient_ID]],Patients!$A:$K,8,FALSE)</f>
        <v>44471</v>
      </c>
      <c r="I48" s="51" t="str">
        <f>VLOOKUP(appointments7[[#This Row],[Patient_ID]],Patients!$A:$K,11,FALSE)</f>
        <v>alex.moore@mail.com</v>
      </c>
      <c r="J48" s="51" t="s">
        <v>32</v>
      </c>
      <c r="K48" s="51" t="s">
        <v>911</v>
      </c>
      <c r="L48" s="51" t="str">
        <f>VLOOKUP(appointments7[[#This Row],[Doctor_ID]],Doctors!$A:$H,4,FALSE)</f>
        <v>Oncology</v>
      </c>
      <c r="M48" s="51">
        <f>VLOOKUP(appointments7[[#This Row],[Doctor_ID]],Doctors!$A:$H,5,FALSE)</f>
        <v>8217493115</v>
      </c>
      <c r="N48" s="51" t="str">
        <f>VLOOKUP(appointments7[[#This Row],[Doctor_ID]],Doctors!$A:$H,7,FALSE)</f>
        <v>Westside Clinic</v>
      </c>
      <c r="O48" s="52">
        <v>45048</v>
      </c>
      <c r="P48" s="53">
        <v>0.45833333333333326</v>
      </c>
      <c r="Q48" s="51" t="s">
        <v>10</v>
      </c>
      <c r="R48" s="51" t="s">
        <v>41</v>
      </c>
      <c r="S48" s="51" t="str">
        <f>VLOOKUP(appointments7[[#This Row],[Appointment_ID]],Treatments!$A:$F,2,FALSE)</f>
        <v>T047</v>
      </c>
      <c r="T48" s="51" t="str">
        <f>VLOOKUP(appointments7[[#This Row],[Appointment_ID]],Treatments!$A:$F,3,FALSE)</f>
        <v>ECG</v>
      </c>
      <c r="U48" s="54">
        <f>VLOOKUP(treatments[[#This Row],[appointment_id]],Treatments!$A:$F,5,FALSE)</f>
        <v>1454.2</v>
      </c>
      <c r="V48" s="52">
        <f>VLOOKUP(appointments7[[#This Row],[Appointment_ID]],Treatments!$A:$F,6,FALSE)</f>
        <v>45048</v>
      </c>
      <c r="W48" s="52" t="str">
        <f>VLOOKUP(appointments7[[#This Row],[Patient_ID]],Billing!$A:$G,2,FALSE)</f>
        <v>B002</v>
      </c>
      <c r="X48" s="52">
        <f>VLOOKUP(appointments7[[#This Row],[Patient_ID]],Billing!$A:$H,4,FALSE)</f>
        <v>45086</v>
      </c>
      <c r="Y48" s="54">
        <f>VLOOKUP(appointments7[[#This Row],[Patient_ID]],Billing!$A:$G,5,FALSE)</f>
        <v>4158.4399999999996</v>
      </c>
      <c r="Z48" s="54" t="str">
        <f>VLOOKUP(appointments7[[#This Row],[Patient_ID]],Billing!$A:$G,6,FALSE)</f>
        <v>Insurance</v>
      </c>
      <c r="AA48" s="52" t="str">
        <f>VLOOKUP(appointments7[[#This Row],[Patient_ID]],Billing!$A:$G,7,FALSE)</f>
        <v>Paid</v>
      </c>
      <c r="AB48" s="2"/>
      <c r="AC48" s="2"/>
    </row>
    <row r="49" spans="1:29" x14ac:dyDescent="0.4">
      <c r="A49" s="51" t="s">
        <v>102</v>
      </c>
      <c r="B49" s="51" t="s">
        <v>31</v>
      </c>
      <c r="C49" s="51" t="s">
        <v>876</v>
      </c>
      <c r="D49" s="51" t="str">
        <f>VLOOKUP(appointments7[[#This Row],[Patient_ID]],Patients!$A:$K,4,FALSE)</f>
        <v>F</v>
      </c>
      <c r="E49" s="52">
        <f>VLOOKUP(appointments7[[#This Row],[Patient_ID]],Patients!$A:$K,5,FALSE)</f>
        <v>20244</v>
      </c>
      <c r="F49" s="51">
        <f>VLOOKUP(appointments7[[#This Row],[Patient_ID]],Patients!$A:$K,6,FALSE)</f>
        <v>6939585183</v>
      </c>
      <c r="G49" s="51" t="str">
        <f>VLOOKUP(appointments7[[#This Row],[Patient_ID]],Patients!$A:$K,7,FALSE)</f>
        <v>789 Pine Rd</v>
      </c>
      <c r="H49" s="52">
        <f>VLOOKUP(appointments7[[#This Row],[Patient_ID]],Patients!$A:$K,8,FALSE)</f>
        <v>44735</v>
      </c>
      <c r="I49" s="51" t="str">
        <f>VLOOKUP(appointments7[[#This Row],[Patient_ID]],Patients!$A:$K,11,FALSE)</f>
        <v>david.williams@mail.com</v>
      </c>
      <c r="J49" s="51" t="s">
        <v>9</v>
      </c>
      <c r="K49" s="51" t="s">
        <v>908</v>
      </c>
      <c r="L49" s="51" t="str">
        <f>VLOOKUP(appointments7[[#This Row],[Doctor_ID]],Doctors!$A:$H,4,FALSE)</f>
        <v>Pediatrics</v>
      </c>
      <c r="M49" s="51">
        <f>VLOOKUP(appointments7[[#This Row],[Doctor_ID]],Doctors!$A:$H,5,FALSE)</f>
        <v>7387087517</v>
      </c>
      <c r="N49" s="51" t="str">
        <f>VLOOKUP(appointments7[[#This Row],[Doctor_ID]],Doctors!$A:$H,7,FALSE)</f>
        <v>Central Hospital</v>
      </c>
      <c r="O49" s="52">
        <v>44942</v>
      </c>
      <c r="P49" s="53">
        <v>0.65625</v>
      </c>
      <c r="Q49" s="51" t="s">
        <v>26</v>
      </c>
      <c r="R49" s="51" t="s">
        <v>19</v>
      </c>
      <c r="S49" s="51" t="str">
        <f>VLOOKUP(appointments7[[#This Row],[Appointment_ID]],Treatments!$A:$F,2,FALSE)</f>
        <v>T048</v>
      </c>
      <c r="T49" s="51" t="str">
        <f>VLOOKUP(appointments7[[#This Row],[Appointment_ID]],Treatments!$A:$F,3,FALSE)</f>
        <v>Chemotherapy</v>
      </c>
      <c r="U49" s="54">
        <f>VLOOKUP(treatments[[#This Row],[appointment_id]],Treatments!$A:$F,5,FALSE)</f>
        <v>3249.41</v>
      </c>
      <c r="V49" s="52">
        <f>VLOOKUP(appointments7[[#This Row],[Appointment_ID]],Treatments!$A:$F,6,FALSE)</f>
        <v>44942</v>
      </c>
      <c r="W49" s="52" t="str">
        <f>VLOOKUP(appointments7[[#This Row],[Patient_ID]],Billing!$A:$G,2,FALSE)</f>
        <v>B007</v>
      </c>
      <c r="X49" s="52">
        <f>VLOOKUP(appointments7[[#This Row],[Patient_ID]],Billing!$A:$H,4,FALSE)</f>
        <v>45025</v>
      </c>
      <c r="Y49" s="54">
        <f>VLOOKUP(appointments7[[#This Row],[Patient_ID]],Billing!$A:$G,5,FALSE)</f>
        <v>534.03</v>
      </c>
      <c r="Z49" s="54" t="str">
        <f>VLOOKUP(appointments7[[#This Row],[Patient_ID]],Billing!$A:$G,6,FALSE)</f>
        <v>Cash</v>
      </c>
      <c r="AA49" s="52" t="str">
        <f>VLOOKUP(appointments7[[#This Row],[Patient_ID]],Billing!$A:$G,7,FALSE)</f>
        <v>Failed</v>
      </c>
      <c r="AB49" s="2"/>
      <c r="AC49" s="2"/>
    </row>
    <row r="50" spans="1:29" x14ac:dyDescent="0.4">
      <c r="A50" s="51" t="s">
        <v>103</v>
      </c>
      <c r="B50" s="51" t="s">
        <v>40</v>
      </c>
      <c r="C50" s="51" t="s">
        <v>879</v>
      </c>
      <c r="D50" s="51" t="str">
        <f>VLOOKUP(appointments7[[#This Row],[Patient_ID]],Patients!$A:$K,4,FALSE)</f>
        <v>M</v>
      </c>
      <c r="E50" s="52">
        <f>VLOOKUP(appointments7[[#This Row],[Patient_ID]],Patients!$A:$K,5,FALSE)</f>
        <v>22090</v>
      </c>
      <c r="F50" s="51">
        <f>VLOOKUP(appointments7[[#This Row],[Patient_ID]],Patients!$A:$K,6,FALSE)</f>
        <v>7734463155</v>
      </c>
      <c r="G50" s="51" t="str">
        <f>VLOOKUP(appointments7[[#This Row],[Patient_ID]],Patients!$A:$K,7,FALSE)</f>
        <v>123 Elm St</v>
      </c>
      <c r="H50" s="52">
        <f>VLOOKUP(appointments7[[#This Row],[Patient_ID]],Patients!$A:$K,8,FALSE)</f>
        <v>44468</v>
      </c>
      <c r="I50" s="51" t="str">
        <f>VLOOKUP(appointments7[[#This Row],[Patient_ID]],Patients!$A:$K,11,FALSE)</f>
        <v>david.wilson@mail.com</v>
      </c>
      <c r="J50" s="51" t="s">
        <v>35</v>
      </c>
      <c r="K50" s="51" t="s">
        <v>912</v>
      </c>
      <c r="L50" s="51" t="str">
        <f>VLOOKUP(appointments7[[#This Row],[Doctor_ID]],Doctors!$A:$H,4,FALSE)</f>
        <v>Oncology</v>
      </c>
      <c r="M50" s="51">
        <f>VLOOKUP(appointments7[[#This Row],[Doctor_ID]],Doctors!$A:$H,5,FALSE)</f>
        <v>6176383634</v>
      </c>
      <c r="N50" s="51" t="str">
        <f>VLOOKUP(appointments7[[#This Row],[Doctor_ID]],Doctors!$A:$H,7,FALSE)</f>
        <v>Eastside Clinic</v>
      </c>
      <c r="O50" s="52">
        <v>45046</v>
      </c>
      <c r="P50" s="53">
        <v>0.64583333333333326</v>
      </c>
      <c r="Q50" s="51" t="s">
        <v>18</v>
      </c>
      <c r="R50" s="51" t="s">
        <v>15</v>
      </c>
      <c r="S50" s="51" t="str">
        <f>VLOOKUP(appointments7[[#This Row],[Appointment_ID]],Treatments!$A:$F,2,FALSE)</f>
        <v>T049</v>
      </c>
      <c r="T50" s="51" t="str">
        <f>VLOOKUP(appointments7[[#This Row],[Appointment_ID]],Treatments!$A:$F,3,FALSE)</f>
        <v>Chemotherapy</v>
      </c>
      <c r="U50" s="54">
        <f>VLOOKUP(treatments[[#This Row],[appointment_id]],Treatments!$A:$F,5,FALSE)</f>
        <v>2349.63</v>
      </c>
      <c r="V50" s="52">
        <f>VLOOKUP(appointments7[[#This Row],[Appointment_ID]],Treatments!$A:$F,6,FALSE)</f>
        <v>45046</v>
      </c>
      <c r="W50" s="52" t="str">
        <f>VLOOKUP(appointments7[[#This Row],[Patient_ID]],Billing!$A:$G,2,FALSE)</f>
        <v>B010</v>
      </c>
      <c r="X50" s="52">
        <f>VLOOKUP(appointments7[[#This Row],[Patient_ID]],Billing!$A:$H,4,FALSE)</f>
        <v>44939</v>
      </c>
      <c r="Y50" s="54">
        <f>VLOOKUP(appointments7[[#This Row],[Patient_ID]],Billing!$A:$G,5,FALSE)</f>
        <v>1595.67</v>
      </c>
      <c r="Z50" s="54" t="str">
        <f>VLOOKUP(appointments7[[#This Row],[Patient_ID]],Billing!$A:$G,6,FALSE)</f>
        <v>Cash</v>
      </c>
      <c r="AA50" s="52" t="str">
        <f>VLOOKUP(appointments7[[#This Row],[Patient_ID]],Billing!$A:$G,7,FALSE)</f>
        <v>Paid</v>
      </c>
      <c r="AB50" s="2"/>
      <c r="AC50" s="2"/>
    </row>
    <row r="51" spans="1:29" x14ac:dyDescent="0.4">
      <c r="A51" s="51" t="s">
        <v>104</v>
      </c>
      <c r="B51" s="51" t="s">
        <v>28</v>
      </c>
      <c r="C51" s="51" t="s">
        <v>875</v>
      </c>
      <c r="D51" s="51" t="str">
        <f>VLOOKUP(appointments7[[#This Row],[Patient_ID]],Patients!$A:$K,4,FALSE)</f>
        <v>F</v>
      </c>
      <c r="E51" s="52">
        <f>VLOOKUP(appointments7[[#This Row],[Patient_ID]],Patients!$A:$K,5,FALSE)</f>
        <v>24222</v>
      </c>
      <c r="F51" s="51">
        <f>VLOOKUP(appointments7[[#This Row],[Patient_ID]],Patients!$A:$K,6,FALSE)</f>
        <v>7579616535</v>
      </c>
      <c r="G51" s="51" t="str">
        <f>VLOOKUP(appointments7[[#This Row],[Patient_ID]],Patients!$A:$K,7,FALSE)</f>
        <v>321 Maple Dr</v>
      </c>
      <c r="H51" s="52">
        <f>VLOOKUP(appointments7[[#This Row],[Patient_ID]],Patients!$A:$K,8,FALSE)</f>
        <v>44219</v>
      </c>
      <c r="I51" s="51" t="str">
        <f>VLOOKUP(appointments7[[#This Row],[Patient_ID]],Patients!$A:$K,11,FALSE)</f>
        <v>linda.miller@mail.com</v>
      </c>
      <c r="J51" s="51" t="s">
        <v>54</v>
      </c>
      <c r="K51" s="51" t="s">
        <v>899</v>
      </c>
      <c r="L51" s="51" t="str">
        <f>VLOOKUP(appointments7[[#This Row],[Doctor_ID]],Doctors!$A:$H,4,FALSE)</f>
        <v>Dermatology</v>
      </c>
      <c r="M51" s="51">
        <f>VLOOKUP(appointments7[[#This Row],[Doctor_ID]],Doctors!$A:$H,5,FALSE)</f>
        <v>9069162601</v>
      </c>
      <c r="N51" s="51" t="str">
        <f>VLOOKUP(appointments7[[#This Row],[Doctor_ID]],Doctors!$A:$H,7,FALSE)</f>
        <v>Westside Clinic</v>
      </c>
      <c r="O51" s="52">
        <v>45154</v>
      </c>
      <c r="P51" s="53">
        <v>0.625</v>
      </c>
      <c r="Q51" s="51" t="s">
        <v>18</v>
      </c>
      <c r="R51" s="51" t="s">
        <v>15</v>
      </c>
      <c r="S51" s="51" t="str">
        <f>VLOOKUP(appointments7[[#This Row],[Appointment_ID]],Treatments!$A:$F,2,FALSE)</f>
        <v>T050</v>
      </c>
      <c r="T51" s="51" t="str">
        <f>VLOOKUP(appointments7[[#This Row],[Appointment_ID]],Treatments!$A:$F,3,FALSE)</f>
        <v>Chemotherapy</v>
      </c>
      <c r="U51" s="54">
        <f>VLOOKUP(treatments[[#This Row],[appointment_id]],Treatments!$A:$F,5,FALSE)</f>
        <v>4279.38</v>
      </c>
      <c r="V51" s="52">
        <f>VLOOKUP(appointments7[[#This Row],[Appointment_ID]],Treatments!$A:$F,6,FALSE)</f>
        <v>45154</v>
      </c>
      <c r="W51" s="52" t="str">
        <f>VLOOKUP(appointments7[[#This Row],[Patient_ID]],Billing!$A:$G,2,FALSE)</f>
        <v>B006</v>
      </c>
      <c r="X51" s="52">
        <f>VLOOKUP(appointments7[[#This Row],[Patient_ID]],Billing!$A:$H,4,FALSE)</f>
        <v>45096</v>
      </c>
      <c r="Y51" s="54">
        <f>VLOOKUP(appointments7[[#This Row],[Patient_ID]],Billing!$A:$G,5,FALSE)</f>
        <v>1381</v>
      </c>
      <c r="Z51" s="54" t="str">
        <f>VLOOKUP(appointments7[[#This Row],[Patient_ID]],Billing!$A:$G,6,FALSE)</f>
        <v>Insurance</v>
      </c>
      <c r="AA51" s="52" t="str">
        <f>VLOOKUP(appointments7[[#This Row],[Patient_ID]],Billing!$A:$G,7,FALSE)</f>
        <v>Pending</v>
      </c>
      <c r="AB51" s="2"/>
      <c r="AC51" s="2"/>
    </row>
    <row r="52" spans="1:29" x14ac:dyDescent="0.4">
      <c r="A52" s="51" t="s">
        <v>105</v>
      </c>
      <c r="B52" s="51" t="s">
        <v>106</v>
      </c>
      <c r="C52" s="51" t="s">
        <v>894</v>
      </c>
      <c r="D52" s="51" t="str">
        <f>VLOOKUP(appointments7[[#This Row],[Patient_ID]],Patients!$A:$K,4,FALSE)</f>
        <v>F</v>
      </c>
      <c r="E52" s="52">
        <f>VLOOKUP(appointments7[[#This Row],[Patient_ID]],Patients!$A:$K,5,FALSE)</f>
        <v>29637</v>
      </c>
      <c r="F52" s="51">
        <f>VLOOKUP(appointments7[[#This Row],[Patient_ID]],Patients!$A:$K,6,FALSE)</f>
        <v>9019443432</v>
      </c>
      <c r="G52" s="51" t="str">
        <f>VLOOKUP(appointments7[[#This Row],[Patient_ID]],Patients!$A:$K,7,FALSE)</f>
        <v>123 Elm St</v>
      </c>
      <c r="H52" s="52">
        <f>VLOOKUP(appointments7[[#This Row],[Patient_ID]],Patients!$A:$K,8,FALSE)</f>
        <v>44257</v>
      </c>
      <c r="I52" s="51" t="str">
        <f>VLOOKUP(appointments7[[#This Row],[Patient_ID]],Patients!$A:$K,11,FALSE)</f>
        <v>michael.johnson@mail.com</v>
      </c>
      <c r="J52" s="51" t="s">
        <v>22</v>
      </c>
      <c r="K52" s="51" t="s">
        <v>910</v>
      </c>
      <c r="L52" s="51" t="str">
        <f>VLOOKUP(appointments7[[#This Row],[Doctor_ID]],Doctors!$A:$H,4,FALSE)</f>
        <v>Pediatrics</v>
      </c>
      <c r="M52" s="51">
        <f>VLOOKUP(appointments7[[#This Row],[Doctor_ID]],Doctors!$A:$H,5,FALSE)</f>
        <v>6570137231</v>
      </c>
      <c r="N52" s="51" t="str">
        <f>VLOOKUP(appointments7[[#This Row],[Doctor_ID]],Doctors!$A:$H,7,FALSE)</f>
        <v>Central Hospital</v>
      </c>
      <c r="O52" s="52">
        <v>44961</v>
      </c>
      <c r="P52" s="53">
        <v>0.48958333333333326</v>
      </c>
      <c r="Q52" s="51" t="s">
        <v>29</v>
      </c>
      <c r="R52" s="51" t="s">
        <v>41</v>
      </c>
      <c r="S52" s="51" t="str">
        <f>VLOOKUP(appointments7[[#This Row],[Appointment_ID]],Treatments!$A:$F,2,FALSE)</f>
        <v>T051</v>
      </c>
      <c r="T52" s="51" t="str">
        <f>VLOOKUP(appointments7[[#This Row],[Appointment_ID]],Treatments!$A:$F,3,FALSE)</f>
        <v>ECG</v>
      </c>
      <c r="U52" s="54">
        <f>VLOOKUP(treatments[[#This Row],[appointment_id]],Treatments!$A:$F,5,FALSE)</f>
        <v>4550.1000000000004</v>
      </c>
      <c r="V52" s="52">
        <f>VLOOKUP(appointments7[[#This Row],[Appointment_ID]],Treatments!$A:$F,6,FALSE)</f>
        <v>44961</v>
      </c>
      <c r="W52" s="52" t="str">
        <f>VLOOKUP(appointments7[[#This Row],[Patient_ID]],Billing!$A:$G,2,FALSE)</f>
        <v>B051</v>
      </c>
      <c r="X52" s="52">
        <f>VLOOKUP(appointments7[[#This Row],[Patient_ID]],Billing!$A:$H,4,FALSE)</f>
        <v>44961</v>
      </c>
      <c r="Y52" s="54">
        <f>VLOOKUP(appointments7[[#This Row],[Patient_ID]],Billing!$A:$G,5,FALSE)</f>
        <v>4550.1000000000004</v>
      </c>
      <c r="Z52" s="54" t="str">
        <f>VLOOKUP(appointments7[[#This Row],[Patient_ID]],Billing!$A:$G,6,FALSE)</f>
        <v>Credit Card</v>
      </c>
      <c r="AA52" s="52" t="str">
        <f>VLOOKUP(appointments7[[#This Row],[Patient_ID]],Billing!$A:$G,7,FALSE)</f>
        <v>Failed</v>
      </c>
      <c r="AB52" s="2"/>
      <c r="AC52" s="2"/>
    </row>
    <row r="53" spans="1:29" x14ac:dyDescent="0.4">
      <c r="A53" s="51" t="s">
        <v>107</v>
      </c>
      <c r="B53" s="51" t="s">
        <v>34</v>
      </c>
      <c r="C53" s="51" t="s">
        <v>877</v>
      </c>
      <c r="D53" s="51" t="str">
        <f>VLOOKUP(appointments7[[#This Row],[Patient_ID]],Patients!$A:$K,4,FALSE)</f>
        <v>M</v>
      </c>
      <c r="E53" s="52">
        <f>VLOOKUP(appointments7[[#This Row],[Patient_ID]],Patients!$A:$K,5,FALSE)</f>
        <v>36729</v>
      </c>
      <c r="F53" s="51">
        <f>VLOOKUP(appointments7[[#This Row],[Patient_ID]],Patients!$A:$K,6,FALSE)</f>
        <v>7223380592</v>
      </c>
      <c r="G53" s="51" t="str">
        <f>VLOOKUP(appointments7[[#This Row],[Patient_ID]],Patients!$A:$K,7,FALSE)</f>
        <v>789 Pine Rd</v>
      </c>
      <c r="H53" s="52">
        <f>VLOOKUP(appointments7[[#This Row],[Patient_ID]],Patients!$A:$K,8,FALSE)</f>
        <v>44400</v>
      </c>
      <c r="I53" s="51" t="str">
        <f>VLOOKUP(appointments7[[#This Row],[Patient_ID]],Patients!$A:$K,11,FALSE)</f>
        <v>michael.taylor@mail.com</v>
      </c>
      <c r="J53" s="51" t="s">
        <v>54</v>
      </c>
      <c r="K53" s="51" t="s">
        <v>899</v>
      </c>
      <c r="L53" s="51" t="str">
        <f>VLOOKUP(appointments7[[#This Row],[Doctor_ID]],Doctors!$A:$H,4,FALSE)</f>
        <v>Dermatology</v>
      </c>
      <c r="M53" s="51">
        <f>VLOOKUP(appointments7[[#This Row],[Doctor_ID]],Doctors!$A:$H,5,FALSE)</f>
        <v>9069162601</v>
      </c>
      <c r="N53" s="51" t="str">
        <f>VLOOKUP(appointments7[[#This Row],[Doctor_ID]],Doctors!$A:$H,7,FALSE)</f>
        <v>Westside Clinic</v>
      </c>
      <c r="O53" s="52">
        <v>45119</v>
      </c>
      <c r="P53" s="53">
        <v>0.39583333333333326</v>
      </c>
      <c r="Q53" s="51" t="s">
        <v>10</v>
      </c>
      <c r="R53" s="51" t="s">
        <v>15</v>
      </c>
      <c r="S53" s="51" t="str">
        <f>VLOOKUP(appointments7[[#This Row],[Appointment_ID]],Treatments!$A:$F,2,FALSE)</f>
        <v>T052</v>
      </c>
      <c r="T53" s="51" t="str">
        <f>VLOOKUP(appointments7[[#This Row],[Appointment_ID]],Treatments!$A:$F,3,FALSE)</f>
        <v>ECG</v>
      </c>
      <c r="U53" s="54">
        <f>VLOOKUP(treatments[[#This Row],[appointment_id]],Treatments!$A:$F,5,FALSE)</f>
        <v>2090.4</v>
      </c>
      <c r="V53" s="52">
        <f>VLOOKUP(appointments7[[#This Row],[Appointment_ID]],Treatments!$A:$F,6,FALSE)</f>
        <v>45119</v>
      </c>
      <c r="W53" s="52" t="str">
        <f>VLOOKUP(appointments7[[#This Row],[Patient_ID]],Billing!$A:$G,2,FALSE)</f>
        <v>B008</v>
      </c>
      <c r="X53" s="52">
        <f>VLOOKUP(appointments7[[#This Row],[Patient_ID]],Billing!$A:$H,4,FALSE)</f>
        <v>45070</v>
      </c>
      <c r="Y53" s="54">
        <f>VLOOKUP(appointments7[[#This Row],[Patient_ID]],Billing!$A:$G,5,FALSE)</f>
        <v>3413.64</v>
      </c>
      <c r="Z53" s="54" t="str">
        <f>VLOOKUP(appointments7[[#This Row],[Patient_ID]],Billing!$A:$G,6,FALSE)</f>
        <v>Cash</v>
      </c>
      <c r="AA53" s="52" t="str">
        <f>VLOOKUP(appointments7[[#This Row],[Patient_ID]],Billing!$A:$G,7,FALSE)</f>
        <v>Failed</v>
      </c>
      <c r="AB53" s="2"/>
      <c r="AC53" s="2"/>
    </row>
    <row r="54" spans="1:29" x14ac:dyDescent="0.4">
      <c r="A54" s="51" t="s">
        <v>108</v>
      </c>
      <c r="B54" s="51" t="s">
        <v>109</v>
      </c>
      <c r="C54" s="51" t="s">
        <v>895</v>
      </c>
      <c r="D54" s="51" t="str">
        <f>VLOOKUP(appointments7[[#This Row],[Patient_ID]],Patients!$A:$K,4,FALSE)</f>
        <v>F</v>
      </c>
      <c r="E54" s="52">
        <f>VLOOKUP(appointments7[[#This Row],[Patient_ID]],Patients!$A:$K,5,FALSE)</f>
        <v>33546</v>
      </c>
      <c r="F54" s="51">
        <f>VLOOKUP(appointments7[[#This Row],[Patient_ID]],Patients!$A:$K,6,FALSE)</f>
        <v>7196777444</v>
      </c>
      <c r="G54" s="51" t="str">
        <f>VLOOKUP(appointments7[[#This Row],[Patient_ID]],Patients!$A:$K,7,FALSE)</f>
        <v>321 Maple Dr</v>
      </c>
      <c r="H54" s="52">
        <f>VLOOKUP(appointments7[[#This Row],[Patient_ID]],Patients!$A:$K,8,FALSE)</f>
        <v>44441</v>
      </c>
      <c r="I54" s="51" t="str">
        <f>VLOOKUP(appointments7[[#This Row],[Patient_ID]],Patients!$A:$K,11,FALSE)</f>
        <v>sarah.brown@mail.com</v>
      </c>
      <c r="J54" s="51" t="s">
        <v>74</v>
      </c>
      <c r="K54" s="51" t="s">
        <v>915</v>
      </c>
      <c r="L54" s="51" t="str">
        <f>VLOOKUP(appointments7[[#This Row],[Doctor_ID]],Doctors!$A:$H,4,FALSE)</f>
        <v>Dermatology</v>
      </c>
      <c r="M54" s="51">
        <f>VLOOKUP(appointments7[[#This Row],[Doctor_ID]],Doctors!$A:$H,5,FALSE)</f>
        <v>9118538547</v>
      </c>
      <c r="N54" s="51" t="str">
        <f>VLOOKUP(appointments7[[#This Row],[Doctor_ID]],Doctors!$A:$H,7,FALSE)</f>
        <v>Central Hospital</v>
      </c>
      <c r="O54" s="52">
        <v>44969</v>
      </c>
      <c r="P54" s="53">
        <v>0.4375</v>
      </c>
      <c r="Q54" s="51" t="s">
        <v>29</v>
      </c>
      <c r="R54" s="51" t="s">
        <v>19</v>
      </c>
      <c r="S54" s="51" t="str">
        <f>VLOOKUP(appointments7[[#This Row],[Appointment_ID]],Treatments!$A:$F,2,FALSE)</f>
        <v>T053</v>
      </c>
      <c r="T54" s="51" t="str">
        <f>VLOOKUP(appointments7[[#This Row],[Appointment_ID]],Treatments!$A:$F,3,FALSE)</f>
        <v>Chemotherapy</v>
      </c>
      <c r="U54" s="54">
        <f>VLOOKUP(treatments[[#This Row],[appointment_id]],Treatments!$A:$F,5,FALSE)</f>
        <v>1565.92</v>
      </c>
      <c r="V54" s="52">
        <f>VLOOKUP(appointments7[[#This Row],[Appointment_ID]],Treatments!$A:$F,6,FALSE)</f>
        <v>44969</v>
      </c>
      <c r="W54" s="52" t="str">
        <f>VLOOKUP(appointments7[[#This Row],[Patient_ID]],Billing!$A:$G,2,FALSE)</f>
        <v>B053</v>
      </c>
      <c r="X54" s="52">
        <f>VLOOKUP(appointments7[[#This Row],[Patient_ID]],Billing!$A:$H,4,FALSE)</f>
        <v>44969</v>
      </c>
      <c r="Y54" s="54">
        <f>VLOOKUP(appointments7[[#This Row],[Patient_ID]],Billing!$A:$G,5,FALSE)</f>
        <v>1565.92</v>
      </c>
      <c r="Z54" s="54" t="str">
        <f>VLOOKUP(appointments7[[#This Row],[Patient_ID]],Billing!$A:$G,6,FALSE)</f>
        <v>Insurance</v>
      </c>
      <c r="AA54" s="52" t="str">
        <f>VLOOKUP(appointments7[[#This Row],[Patient_ID]],Billing!$A:$G,7,FALSE)</f>
        <v>Pending</v>
      </c>
      <c r="AB54" s="2"/>
      <c r="AC54" s="2"/>
    </row>
    <row r="55" spans="1:29" x14ac:dyDescent="0.4">
      <c r="A55" s="51" t="s">
        <v>110</v>
      </c>
      <c r="B55" s="51" t="s">
        <v>34</v>
      </c>
      <c r="C55" s="51" t="s">
        <v>877</v>
      </c>
      <c r="D55" s="51" t="str">
        <f>VLOOKUP(appointments7[[#This Row],[Patient_ID]],Patients!$A:$K,4,FALSE)</f>
        <v>M</v>
      </c>
      <c r="E55" s="52">
        <f>VLOOKUP(appointments7[[#This Row],[Patient_ID]],Patients!$A:$K,5,FALSE)</f>
        <v>36729</v>
      </c>
      <c r="F55" s="51">
        <f>VLOOKUP(appointments7[[#This Row],[Patient_ID]],Patients!$A:$K,6,FALSE)</f>
        <v>7223380592</v>
      </c>
      <c r="G55" s="51" t="str">
        <f>VLOOKUP(appointments7[[#This Row],[Patient_ID]],Patients!$A:$K,7,FALSE)</f>
        <v>789 Pine Rd</v>
      </c>
      <c r="H55" s="52">
        <f>VLOOKUP(appointments7[[#This Row],[Patient_ID]],Patients!$A:$K,8,FALSE)</f>
        <v>44400</v>
      </c>
      <c r="I55" s="51" t="str">
        <f>VLOOKUP(appointments7[[#This Row],[Patient_ID]],Patients!$A:$K,11,FALSE)</f>
        <v>michael.taylor@mail.com</v>
      </c>
      <c r="J55" s="51" t="s">
        <v>54</v>
      </c>
      <c r="K55" s="51" t="s">
        <v>899</v>
      </c>
      <c r="L55" s="51" t="str">
        <f>VLOOKUP(appointments7[[#This Row],[Doctor_ID]],Doctors!$A:$H,4,FALSE)</f>
        <v>Dermatology</v>
      </c>
      <c r="M55" s="51">
        <f>VLOOKUP(appointments7[[#This Row],[Doctor_ID]],Doctors!$A:$H,5,FALSE)</f>
        <v>9069162601</v>
      </c>
      <c r="N55" s="51" t="str">
        <f>VLOOKUP(appointments7[[#This Row],[Doctor_ID]],Doctors!$A:$H,7,FALSE)</f>
        <v>Westside Clinic</v>
      </c>
      <c r="O55" s="52">
        <v>45276</v>
      </c>
      <c r="P55" s="53">
        <v>0.48958333333333326</v>
      </c>
      <c r="Q55" s="51" t="s">
        <v>38</v>
      </c>
      <c r="R55" s="51" t="s">
        <v>11</v>
      </c>
      <c r="S55" s="51" t="str">
        <f>VLOOKUP(appointments7[[#This Row],[Appointment_ID]],Treatments!$A:$F,2,FALSE)</f>
        <v>T054</v>
      </c>
      <c r="T55" s="51" t="str">
        <f>VLOOKUP(appointments7[[#This Row],[Appointment_ID]],Treatments!$A:$F,3,FALSE)</f>
        <v>Physiotherapy</v>
      </c>
      <c r="U55" s="54">
        <f>VLOOKUP(treatments[[#This Row],[appointment_id]],Treatments!$A:$F,5,FALSE)</f>
        <v>4012.36</v>
      </c>
      <c r="V55" s="52">
        <f>VLOOKUP(appointments7[[#This Row],[Appointment_ID]],Treatments!$A:$F,6,FALSE)</f>
        <v>45276</v>
      </c>
      <c r="W55" s="52" t="str">
        <f>VLOOKUP(appointments7[[#This Row],[Patient_ID]],Billing!$A:$G,2,FALSE)</f>
        <v>B008</v>
      </c>
      <c r="X55" s="52">
        <f>VLOOKUP(appointments7[[#This Row],[Patient_ID]],Billing!$A:$H,4,FALSE)</f>
        <v>45070</v>
      </c>
      <c r="Y55" s="54">
        <f>VLOOKUP(appointments7[[#This Row],[Patient_ID]],Billing!$A:$G,5,FALSE)</f>
        <v>3413.64</v>
      </c>
      <c r="Z55" s="54" t="str">
        <f>VLOOKUP(appointments7[[#This Row],[Patient_ID]],Billing!$A:$G,6,FALSE)</f>
        <v>Cash</v>
      </c>
      <c r="AA55" s="52" t="str">
        <f>VLOOKUP(appointments7[[#This Row],[Patient_ID]],Billing!$A:$G,7,FALSE)</f>
        <v>Failed</v>
      </c>
      <c r="AB55" s="2"/>
      <c r="AC55" s="2"/>
    </row>
    <row r="56" spans="1:29" x14ac:dyDescent="0.4">
      <c r="A56" s="51" t="s">
        <v>111</v>
      </c>
      <c r="B56" s="51" t="s">
        <v>112</v>
      </c>
      <c r="C56" s="51" t="s">
        <v>896</v>
      </c>
      <c r="D56" s="51" t="str">
        <f>VLOOKUP(appointments7[[#This Row],[Patient_ID]],Patients!$A:$K,4,FALSE)</f>
        <v>F</v>
      </c>
      <c r="E56" s="52">
        <f>VLOOKUP(appointments7[[#This Row],[Patient_ID]],Patients!$A:$K,5,FALSE)</f>
        <v>30967</v>
      </c>
      <c r="F56" s="51">
        <f>VLOOKUP(appointments7[[#This Row],[Patient_ID]],Patients!$A:$K,6,FALSE)</f>
        <v>8228188767</v>
      </c>
      <c r="G56" s="51" t="str">
        <f>VLOOKUP(appointments7[[#This Row],[Patient_ID]],Patients!$A:$K,7,FALSE)</f>
        <v>321 Maple Dr</v>
      </c>
      <c r="H56" s="52">
        <f>VLOOKUP(appointments7[[#This Row],[Patient_ID]],Patients!$A:$K,8,FALSE)</f>
        <v>44576</v>
      </c>
      <c r="I56" s="51" t="str">
        <f>VLOOKUP(appointments7[[#This Row],[Patient_ID]],Patients!$A:$K,11,FALSE)</f>
        <v>emily.smith@mail.com</v>
      </c>
      <c r="J56" s="51" t="s">
        <v>35</v>
      </c>
      <c r="K56" s="51" t="s">
        <v>912</v>
      </c>
      <c r="L56" s="51" t="str">
        <f>VLOOKUP(appointments7[[#This Row],[Doctor_ID]],Doctors!$A:$H,4,FALSE)</f>
        <v>Oncology</v>
      </c>
      <c r="M56" s="51">
        <f>VLOOKUP(appointments7[[#This Row],[Doctor_ID]],Doctors!$A:$H,5,FALSE)</f>
        <v>6176383634</v>
      </c>
      <c r="N56" s="51" t="str">
        <f>VLOOKUP(appointments7[[#This Row],[Doctor_ID]],Doctors!$A:$H,7,FALSE)</f>
        <v>Eastside Clinic</v>
      </c>
      <c r="O56" s="52">
        <v>45205</v>
      </c>
      <c r="P56" s="53">
        <v>0.72916666666666674</v>
      </c>
      <c r="Q56" s="51" t="s">
        <v>29</v>
      </c>
      <c r="R56" s="51" t="s">
        <v>11</v>
      </c>
      <c r="S56" s="51" t="str">
        <f>VLOOKUP(appointments7[[#This Row],[Appointment_ID]],Treatments!$A:$F,2,FALSE)</f>
        <v>T055</v>
      </c>
      <c r="T56" s="51" t="str">
        <f>VLOOKUP(appointments7[[#This Row],[Appointment_ID]],Treatments!$A:$F,3,FALSE)</f>
        <v>Physiotherapy</v>
      </c>
      <c r="U56" s="54">
        <f>VLOOKUP(treatments[[#This Row],[appointment_id]],Treatments!$A:$F,5,FALSE)</f>
        <v>1736.63</v>
      </c>
      <c r="V56" s="52">
        <f>VLOOKUP(appointments7[[#This Row],[Appointment_ID]],Treatments!$A:$F,6,FALSE)</f>
        <v>45205</v>
      </c>
      <c r="W56" s="52" t="str">
        <f>VLOOKUP(appointments7[[#This Row],[Patient_ID]],Billing!$A:$G,2,FALSE)</f>
        <v>B055</v>
      </c>
      <c r="X56" s="52">
        <f>VLOOKUP(appointments7[[#This Row],[Patient_ID]],Billing!$A:$H,4,FALSE)</f>
        <v>45205</v>
      </c>
      <c r="Y56" s="54">
        <f>VLOOKUP(appointments7[[#This Row],[Patient_ID]],Billing!$A:$G,5,FALSE)</f>
        <v>1736.63</v>
      </c>
      <c r="Z56" s="54" t="str">
        <f>VLOOKUP(appointments7[[#This Row],[Patient_ID]],Billing!$A:$G,6,FALSE)</f>
        <v>Cash</v>
      </c>
      <c r="AA56" s="52" t="str">
        <f>VLOOKUP(appointments7[[#This Row],[Patient_ID]],Billing!$A:$G,7,FALSE)</f>
        <v>Failed</v>
      </c>
      <c r="AB56" s="2"/>
      <c r="AC56" s="2"/>
    </row>
    <row r="57" spans="1:29" x14ac:dyDescent="0.4">
      <c r="A57" s="51" t="s">
        <v>113</v>
      </c>
      <c r="B57" s="51" t="s">
        <v>68</v>
      </c>
      <c r="C57" s="51" t="s">
        <v>888</v>
      </c>
      <c r="D57" s="51" t="str">
        <f>VLOOKUP(appointments7[[#This Row],[Patient_ID]],Patients!$A:$K,4,FALSE)</f>
        <v>M</v>
      </c>
      <c r="E57" s="52">
        <f>VLOOKUP(appointments7[[#This Row],[Patient_ID]],Patients!$A:$K,5,FALSE)</f>
        <v>26629</v>
      </c>
      <c r="F57" s="51">
        <f>VLOOKUP(appointments7[[#This Row],[Patient_ID]],Patients!$A:$K,6,FALSE)</f>
        <v>7712937941</v>
      </c>
      <c r="G57" s="51" t="str">
        <f>VLOOKUP(appointments7[[#This Row],[Patient_ID]],Patients!$A:$K,7,FALSE)</f>
        <v>321 Maple Dr</v>
      </c>
      <c r="H57" s="52">
        <f>VLOOKUP(appointments7[[#This Row],[Patient_ID]],Patients!$A:$K,8,FALSE)</f>
        <v>45091</v>
      </c>
      <c r="I57" s="51" t="str">
        <f>VLOOKUP(appointments7[[#This Row],[Patient_ID]],Patients!$A:$K,11,FALSE)</f>
        <v>david.moore@mail.com</v>
      </c>
      <c r="J57" s="51" t="s">
        <v>14</v>
      </c>
      <c r="K57" s="51" t="s">
        <v>909</v>
      </c>
      <c r="L57" s="51" t="str">
        <f>VLOOKUP(appointments7[[#This Row],[Doctor_ID]],Doctors!$A:$H,4,FALSE)</f>
        <v>Pediatrics</v>
      </c>
      <c r="M57" s="51">
        <f>VLOOKUP(appointments7[[#This Row],[Doctor_ID]],Doctors!$A:$H,5,FALSE)</f>
        <v>6594221991</v>
      </c>
      <c r="N57" s="51" t="str">
        <f>VLOOKUP(appointments7[[#This Row],[Doctor_ID]],Doctors!$A:$H,7,FALSE)</f>
        <v>Central Hospital</v>
      </c>
      <c r="O57" s="52">
        <v>44928</v>
      </c>
      <c r="P57" s="53">
        <v>0.53125</v>
      </c>
      <c r="Q57" s="51" t="s">
        <v>29</v>
      </c>
      <c r="R57" s="51" t="s">
        <v>11</v>
      </c>
      <c r="S57" s="51" t="str">
        <f>VLOOKUP(appointments7[[#This Row],[Appointment_ID]],Treatments!$A:$F,2,FALSE)</f>
        <v>T056</v>
      </c>
      <c r="T57" s="51" t="str">
        <f>VLOOKUP(appointments7[[#This Row],[Appointment_ID]],Treatments!$A:$F,3,FALSE)</f>
        <v>X-Ray</v>
      </c>
      <c r="U57" s="54">
        <f>VLOOKUP(treatments[[#This Row],[appointment_id]],Treatments!$A:$F,5,FALSE)</f>
        <v>4201.76</v>
      </c>
      <c r="V57" s="52">
        <f>VLOOKUP(appointments7[[#This Row],[Appointment_ID]],Treatments!$A:$F,6,FALSE)</f>
        <v>44928</v>
      </c>
      <c r="W57" s="52" t="str">
        <f>VLOOKUP(appointments7[[#This Row],[Patient_ID]],Billing!$A:$G,2,FALSE)</f>
        <v>B024</v>
      </c>
      <c r="X57" s="52">
        <f>VLOOKUP(appointments7[[#This Row],[Patient_ID]],Billing!$A:$H,4,FALSE)</f>
        <v>45098</v>
      </c>
      <c r="Y57" s="54">
        <f>VLOOKUP(appointments7[[#This Row],[Patient_ID]],Billing!$A:$G,5,FALSE)</f>
        <v>3722.68</v>
      </c>
      <c r="Z57" s="54" t="str">
        <f>VLOOKUP(appointments7[[#This Row],[Patient_ID]],Billing!$A:$G,6,FALSE)</f>
        <v>Cash</v>
      </c>
      <c r="AA57" s="52" t="str">
        <f>VLOOKUP(appointments7[[#This Row],[Patient_ID]],Billing!$A:$G,7,FALSE)</f>
        <v>Pending</v>
      </c>
      <c r="AB57" s="2"/>
      <c r="AC57" s="2"/>
    </row>
    <row r="58" spans="1:29" x14ac:dyDescent="0.4">
      <c r="A58" s="51" t="s">
        <v>114</v>
      </c>
      <c r="B58" s="51" t="s">
        <v>63</v>
      </c>
      <c r="C58" s="51" t="s">
        <v>871</v>
      </c>
      <c r="D58" s="51" t="str">
        <f>VLOOKUP(appointments7[[#This Row],[Patient_ID]],Patients!$A:$K,4,FALSE)</f>
        <v>M</v>
      </c>
      <c r="E58" s="52">
        <f>VLOOKUP(appointments7[[#This Row],[Patient_ID]],Patients!$A:$K,5,FALSE)</f>
        <v>34072</v>
      </c>
      <c r="F58" s="51">
        <f>VLOOKUP(appointments7[[#This Row],[Patient_ID]],Patients!$A:$K,6,FALSE)</f>
        <v>7028910482</v>
      </c>
      <c r="G58" s="51" t="str">
        <f>VLOOKUP(appointments7[[#This Row],[Patient_ID]],Patients!$A:$K,7,FALSE)</f>
        <v>321 Maple Dr</v>
      </c>
      <c r="H58" s="52">
        <f>VLOOKUP(appointments7[[#This Row],[Patient_ID]],Patients!$A:$K,8,FALSE)</f>
        <v>45066</v>
      </c>
      <c r="I58" s="51" t="str">
        <f>VLOOKUP(appointments7[[#This Row],[Patient_ID]],Patients!$A:$K,11,FALSE)</f>
        <v>alex.moore@mail.com</v>
      </c>
      <c r="J58" s="51" t="s">
        <v>35</v>
      </c>
      <c r="K58" s="51" t="s">
        <v>912</v>
      </c>
      <c r="L58" s="51" t="str">
        <f>VLOOKUP(appointments7[[#This Row],[Doctor_ID]],Doctors!$A:$H,4,FALSE)</f>
        <v>Oncology</v>
      </c>
      <c r="M58" s="51">
        <f>VLOOKUP(appointments7[[#This Row],[Doctor_ID]],Doctors!$A:$H,5,FALSE)</f>
        <v>6176383634</v>
      </c>
      <c r="N58" s="51" t="str">
        <f>VLOOKUP(appointments7[[#This Row],[Doctor_ID]],Doctors!$A:$H,7,FALSE)</f>
        <v>Eastside Clinic</v>
      </c>
      <c r="O58" s="52">
        <v>45031</v>
      </c>
      <c r="P58" s="53">
        <v>0.73958333333333326</v>
      </c>
      <c r="Q58" s="51" t="s">
        <v>26</v>
      </c>
      <c r="R58" s="51" t="s">
        <v>41</v>
      </c>
      <c r="S58" s="51" t="str">
        <f>VLOOKUP(appointments7[[#This Row],[Appointment_ID]],Treatments!$A:$F,2,FALSE)</f>
        <v>T057</v>
      </c>
      <c r="T58" s="51" t="str">
        <f>VLOOKUP(appointments7[[#This Row],[Appointment_ID]],Treatments!$A:$F,3,FALSE)</f>
        <v>MRI</v>
      </c>
      <c r="U58" s="54">
        <f>VLOOKUP(treatments[[#This Row],[appointment_id]],Treatments!$A:$F,5,FALSE)</f>
        <v>2406.8200000000002</v>
      </c>
      <c r="V58" s="52">
        <f>VLOOKUP(appointments7[[#This Row],[Appointment_ID]],Treatments!$A:$F,6,FALSE)</f>
        <v>45031</v>
      </c>
      <c r="W58" s="52" t="str">
        <f>VLOOKUP(appointments7[[#This Row],[Patient_ID]],Billing!$A:$G,2,FALSE)</f>
        <v>B021</v>
      </c>
      <c r="X58" s="52">
        <f>VLOOKUP(appointments7[[#This Row],[Patient_ID]],Billing!$A:$H,4,FALSE)</f>
        <v>45040</v>
      </c>
      <c r="Y58" s="54">
        <f>VLOOKUP(appointments7[[#This Row],[Patient_ID]],Billing!$A:$G,5,FALSE)</f>
        <v>2926.23</v>
      </c>
      <c r="Z58" s="54" t="str">
        <f>VLOOKUP(appointments7[[#This Row],[Patient_ID]],Billing!$A:$G,6,FALSE)</f>
        <v>Insurance</v>
      </c>
      <c r="AA58" s="52" t="str">
        <f>VLOOKUP(appointments7[[#This Row],[Patient_ID]],Billing!$A:$G,7,FALSE)</f>
        <v>Failed</v>
      </c>
      <c r="AB58" s="2"/>
      <c r="AC58" s="2"/>
    </row>
    <row r="59" spans="1:29" x14ac:dyDescent="0.4">
      <c r="A59" s="51" t="s">
        <v>115</v>
      </c>
      <c r="B59" s="51" t="s">
        <v>13</v>
      </c>
      <c r="C59" s="51" t="s">
        <v>871</v>
      </c>
      <c r="D59" s="51" t="str">
        <f>VLOOKUP(appointments7[[#This Row],[Patient_ID]],Patients!$A:$K,4,FALSE)</f>
        <v>M</v>
      </c>
      <c r="E59" s="52">
        <f>VLOOKUP(appointments7[[#This Row],[Patient_ID]],Patients!$A:$K,5,FALSE)</f>
        <v>29594</v>
      </c>
      <c r="F59" s="51">
        <f>VLOOKUP(appointments7[[#This Row],[Patient_ID]],Patients!$A:$K,6,FALSE)</f>
        <v>8102183595</v>
      </c>
      <c r="G59" s="51" t="str">
        <f>VLOOKUP(appointments7[[#This Row],[Patient_ID]],Patients!$A:$K,7,FALSE)</f>
        <v>123 Elm St</v>
      </c>
      <c r="H59" s="52">
        <f>VLOOKUP(appointments7[[#This Row],[Patient_ID]],Patients!$A:$K,8,FALSE)</f>
        <v>44471</v>
      </c>
      <c r="I59" s="51" t="str">
        <f>VLOOKUP(appointments7[[#This Row],[Patient_ID]],Patients!$A:$K,11,FALSE)</f>
        <v>alex.moore@mail.com</v>
      </c>
      <c r="J59" s="51" t="s">
        <v>54</v>
      </c>
      <c r="K59" s="51" t="s">
        <v>899</v>
      </c>
      <c r="L59" s="51" t="str">
        <f>VLOOKUP(appointments7[[#This Row],[Doctor_ID]],Doctors!$A:$H,4,FALSE)</f>
        <v>Dermatology</v>
      </c>
      <c r="M59" s="51">
        <f>VLOOKUP(appointments7[[#This Row],[Doctor_ID]],Doctors!$A:$H,5,FALSE)</f>
        <v>9069162601</v>
      </c>
      <c r="N59" s="51" t="str">
        <f>VLOOKUP(appointments7[[#This Row],[Doctor_ID]],Doctors!$A:$H,7,FALSE)</f>
        <v>Westside Clinic</v>
      </c>
      <c r="O59" s="52">
        <v>45055</v>
      </c>
      <c r="P59" s="53">
        <v>0.55208333333333326</v>
      </c>
      <c r="Q59" s="51" t="s">
        <v>18</v>
      </c>
      <c r="R59" s="51" t="s">
        <v>15</v>
      </c>
      <c r="S59" s="51" t="str">
        <f>VLOOKUP(appointments7[[#This Row],[Appointment_ID]],Treatments!$A:$F,2,FALSE)</f>
        <v>T058</v>
      </c>
      <c r="T59" s="51" t="str">
        <f>VLOOKUP(appointments7[[#This Row],[Appointment_ID]],Treatments!$A:$F,3,FALSE)</f>
        <v>Physiotherapy</v>
      </c>
      <c r="U59" s="54">
        <f>VLOOKUP(treatments[[#This Row],[appointment_id]],Treatments!$A:$F,5,FALSE)</f>
        <v>3503.97</v>
      </c>
      <c r="V59" s="52">
        <f>VLOOKUP(appointments7[[#This Row],[Appointment_ID]],Treatments!$A:$F,6,FALSE)</f>
        <v>45055</v>
      </c>
      <c r="W59" s="52" t="str">
        <f>VLOOKUP(appointments7[[#This Row],[Patient_ID]],Billing!$A:$G,2,FALSE)</f>
        <v>B002</v>
      </c>
      <c r="X59" s="52">
        <f>VLOOKUP(appointments7[[#This Row],[Patient_ID]],Billing!$A:$H,4,FALSE)</f>
        <v>45086</v>
      </c>
      <c r="Y59" s="54">
        <f>VLOOKUP(appointments7[[#This Row],[Patient_ID]],Billing!$A:$G,5,FALSE)</f>
        <v>4158.4399999999996</v>
      </c>
      <c r="Z59" s="54" t="str">
        <f>VLOOKUP(appointments7[[#This Row],[Patient_ID]],Billing!$A:$G,6,FALSE)</f>
        <v>Insurance</v>
      </c>
      <c r="AA59" s="52" t="str">
        <f>VLOOKUP(appointments7[[#This Row],[Patient_ID]],Billing!$A:$G,7,FALSE)</f>
        <v>Paid</v>
      </c>
      <c r="AB59" s="2"/>
      <c r="AC59" s="2"/>
    </row>
    <row r="60" spans="1:29" x14ac:dyDescent="0.4">
      <c r="A60" s="51" t="s">
        <v>116</v>
      </c>
      <c r="B60" s="51" t="s">
        <v>117</v>
      </c>
      <c r="C60" s="51" t="s">
        <v>897</v>
      </c>
      <c r="D60" s="51" t="str">
        <f>VLOOKUP(appointments7[[#This Row],[Patient_ID]],Patients!$A:$K,4,FALSE)</f>
        <v>F</v>
      </c>
      <c r="E60" s="52">
        <f>VLOOKUP(appointments7[[#This Row],[Patient_ID]],Patients!$A:$K,5,FALSE)</f>
        <v>35975</v>
      </c>
      <c r="F60" s="51">
        <f>VLOOKUP(appointments7[[#This Row],[Patient_ID]],Patients!$A:$K,6,FALSE)</f>
        <v>8724518272</v>
      </c>
      <c r="G60" s="51" t="str">
        <f>VLOOKUP(appointments7[[#This Row],[Patient_ID]],Patients!$A:$K,7,FALSE)</f>
        <v>321 Maple Dr</v>
      </c>
      <c r="H60" s="52">
        <f>VLOOKUP(appointments7[[#This Row],[Patient_ID]],Patients!$A:$K,8,FALSE)</f>
        <v>44423</v>
      </c>
      <c r="I60" s="51" t="str">
        <f>VLOOKUP(appointments7[[#This Row],[Patient_ID]],Patients!$A:$K,11,FALSE)</f>
        <v>linda.moore@mail.com</v>
      </c>
      <c r="J60" s="51" t="s">
        <v>35</v>
      </c>
      <c r="K60" s="51" t="s">
        <v>912</v>
      </c>
      <c r="L60" s="51" t="str">
        <f>VLOOKUP(appointments7[[#This Row],[Doctor_ID]],Doctors!$A:$H,4,FALSE)</f>
        <v>Oncology</v>
      </c>
      <c r="M60" s="51">
        <f>VLOOKUP(appointments7[[#This Row],[Doctor_ID]],Doctors!$A:$H,5,FALSE)</f>
        <v>6176383634</v>
      </c>
      <c r="N60" s="51" t="str">
        <f>VLOOKUP(appointments7[[#This Row],[Doctor_ID]],Doctors!$A:$H,7,FALSE)</f>
        <v>Eastside Clinic</v>
      </c>
      <c r="O60" s="52">
        <v>44994</v>
      </c>
      <c r="P60" s="53">
        <v>0.64583333333333326</v>
      </c>
      <c r="Q60" s="51" t="s">
        <v>10</v>
      </c>
      <c r="R60" s="51" t="s">
        <v>19</v>
      </c>
      <c r="S60" s="51" t="str">
        <f>VLOOKUP(appointments7[[#This Row],[Appointment_ID]],Treatments!$A:$F,2,FALSE)</f>
        <v>T059</v>
      </c>
      <c r="T60" s="51" t="str">
        <f>VLOOKUP(appointments7[[#This Row],[Appointment_ID]],Treatments!$A:$F,3,FALSE)</f>
        <v>ECG</v>
      </c>
      <c r="U60" s="54">
        <f>VLOOKUP(treatments[[#This Row],[appointment_id]],Treatments!$A:$F,5,FALSE)</f>
        <v>929.91</v>
      </c>
      <c r="V60" s="52">
        <f>VLOOKUP(appointments7[[#This Row],[Appointment_ID]],Treatments!$A:$F,6,FALSE)</f>
        <v>44994</v>
      </c>
      <c r="W60" s="52" t="str">
        <f>VLOOKUP(appointments7[[#This Row],[Patient_ID]],Billing!$A:$G,2,FALSE)</f>
        <v>B059</v>
      </c>
      <c r="X60" s="52">
        <f>VLOOKUP(appointments7[[#This Row],[Patient_ID]],Billing!$A:$H,4,FALSE)</f>
        <v>44994</v>
      </c>
      <c r="Y60" s="54">
        <f>VLOOKUP(appointments7[[#This Row],[Patient_ID]],Billing!$A:$G,5,FALSE)</f>
        <v>929.91</v>
      </c>
      <c r="Z60" s="54" t="str">
        <f>VLOOKUP(appointments7[[#This Row],[Patient_ID]],Billing!$A:$G,6,FALSE)</f>
        <v>Cash</v>
      </c>
      <c r="AA60" s="52" t="str">
        <f>VLOOKUP(appointments7[[#This Row],[Patient_ID]],Billing!$A:$G,7,FALSE)</f>
        <v>Pending</v>
      </c>
      <c r="AB60" s="2"/>
      <c r="AC60" s="2"/>
    </row>
    <row r="61" spans="1:29" x14ac:dyDescent="0.4">
      <c r="A61" s="51" t="s">
        <v>118</v>
      </c>
      <c r="B61" s="51" t="s">
        <v>119</v>
      </c>
      <c r="C61" s="51" t="s">
        <v>887</v>
      </c>
      <c r="D61" s="51" t="str">
        <f>VLOOKUP(appointments7[[#This Row],[Patient_ID]],Patients!$A:$K,4,FALSE)</f>
        <v>F</v>
      </c>
      <c r="E61" s="52">
        <f>VLOOKUP(appointments7[[#This Row],[Patient_ID]],Patients!$A:$K,5,FALSE)</f>
        <v>37778</v>
      </c>
      <c r="F61" s="51">
        <f>VLOOKUP(appointments7[[#This Row],[Patient_ID]],Patients!$A:$K,6,FALSE)</f>
        <v>8158989953</v>
      </c>
      <c r="G61" s="51" t="str">
        <f>VLOOKUP(appointments7[[#This Row],[Patient_ID]],Patients!$A:$K,7,FALSE)</f>
        <v>789 Pine Rd</v>
      </c>
      <c r="H61" s="52">
        <f>VLOOKUP(appointments7[[#This Row],[Patient_ID]],Patients!$A:$K,8,FALSE)</f>
        <v>44654</v>
      </c>
      <c r="I61" s="51" t="str">
        <f>VLOOKUP(appointments7[[#This Row],[Patient_ID]],Patients!$A:$K,11,FALSE)</f>
        <v>jane.moore@mail.com</v>
      </c>
      <c r="J61" s="51" t="s">
        <v>48</v>
      </c>
      <c r="K61" s="51" t="s">
        <v>913</v>
      </c>
      <c r="L61" s="51" t="str">
        <f>VLOOKUP(appointments7[[#This Row],[Doctor_ID]],Doctors!$A:$H,4,FALSE)</f>
        <v>Pediatrics</v>
      </c>
      <c r="M61" s="51">
        <f>VLOOKUP(appointments7[[#This Row],[Doctor_ID]],Doctors!$A:$H,5,FALSE)</f>
        <v>9004382050</v>
      </c>
      <c r="N61" s="51" t="str">
        <f>VLOOKUP(appointments7[[#This Row],[Doctor_ID]],Doctors!$A:$H,7,FALSE)</f>
        <v>Eastside Clinic</v>
      </c>
      <c r="O61" s="52">
        <v>45252</v>
      </c>
      <c r="P61" s="53">
        <v>0.71875</v>
      </c>
      <c r="Q61" s="51" t="s">
        <v>29</v>
      </c>
      <c r="R61" s="51" t="s">
        <v>15</v>
      </c>
      <c r="S61" s="51" t="str">
        <f>VLOOKUP(appointments7[[#This Row],[Appointment_ID]],Treatments!$A:$F,2,FALSE)</f>
        <v>T060</v>
      </c>
      <c r="T61" s="51" t="str">
        <f>VLOOKUP(appointments7[[#This Row],[Appointment_ID]],Treatments!$A:$F,3,FALSE)</f>
        <v>Physiotherapy</v>
      </c>
      <c r="U61" s="54">
        <f>VLOOKUP(treatments[[#This Row],[appointment_id]],Treatments!$A:$F,5,FALSE)</f>
        <v>3307.37</v>
      </c>
      <c r="V61" s="52">
        <f>VLOOKUP(appointments7[[#This Row],[Appointment_ID]],Treatments!$A:$F,6,FALSE)</f>
        <v>45252</v>
      </c>
      <c r="W61" s="52" t="str">
        <f>VLOOKUP(appointments7[[#This Row],[Patient_ID]],Billing!$A:$G,2,FALSE)</f>
        <v>B060</v>
      </c>
      <c r="X61" s="52">
        <f>VLOOKUP(appointments7[[#This Row],[Patient_ID]],Billing!$A:$H,4,FALSE)</f>
        <v>45252</v>
      </c>
      <c r="Y61" s="54">
        <f>VLOOKUP(appointments7[[#This Row],[Patient_ID]],Billing!$A:$G,5,FALSE)</f>
        <v>3307.37</v>
      </c>
      <c r="Z61" s="54" t="str">
        <f>VLOOKUP(appointments7[[#This Row],[Patient_ID]],Billing!$A:$G,6,FALSE)</f>
        <v>Insurance</v>
      </c>
      <c r="AA61" s="52" t="str">
        <f>VLOOKUP(appointments7[[#This Row],[Patient_ID]],Billing!$A:$G,7,FALSE)</f>
        <v>Pending</v>
      </c>
      <c r="AB61" s="2"/>
      <c r="AC61" s="2"/>
    </row>
    <row r="62" spans="1:29" x14ac:dyDescent="0.4">
      <c r="A62" s="51" t="s">
        <v>120</v>
      </c>
      <c r="B62" s="51" t="s">
        <v>109</v>
      </c>
      <c r="C62" s="51" t="s">
        <v>895</v>
      </c>
      <c r="D62" s="51" t="str">
        <f>VLOOKUP(appointments7[[#This Row],[Patient_ID]],Patients!$A:$K,4,FALSE)</f>
        <v>F</v>
      </c>
      <c r="E62" s="52">
        <f>VLOOKUP(appointments7[[#This Row],[Patient_ID]],Patients!$A:$K,5,FALSE)</f>
        <v>33546</v>
      </c>
      <c r="F62" s="51">
        <f>VLOOKUP(appointments7[[#This Row],[Patient_ID]],Patients!$A:$K,6,FALSE)</f>
        <v>7196777444</v>
      </c>
      <c r="G62" s="51" t="str">
        <f>VLOOKUP(appointments7[[#This Row],[Patient_ID]],Patients!$A:$K,7,FALSE)</f>
        <v>321 Maple Dr</v>
      </c>
      <c r="H62" s="52">
        <f>VLOOKUP(appointments7[[#This Row],[Patient_ID]],Patients!$A:$K,8,FALSE)</f>
        <v>44441</v>
      </c>
      <c r="I62" s="51" t="str">
        <f>VLOOKUP(appointments7[[#This Row],[Patient_ID]],Patients!$A:$K,11,FALSE)</f>
        <v>sarah.brown@mail.com</v>
      </c>
      <c r="J62" s="51" t="s">
        <v>74</v>
      </c>
      <c r="K62" s="51" t="s">
        <v>915</v>
      </c>
      <c r="L62" s="51" t="str">
        <f>VLOOKUP(appointments7[[#This Row],[Doctor_ID]],Doctors!$A:$H,4,FALSE)</f>
        <v>Dermatology</v>
      </c>
      <c r="M62" s="51">
        <f>VLOOKUP(appointments7[[#This Row],[Doctor_ID]],Doctors!$A:$H,5,FALSE)</f>
        <v>9118538547</v>
      </c>
      <c r="N62" s="51" t="str">
        <f>VLOOKUP(appointments7[[#This Row],[Doctor_ID]],Doctors!$A:$H,7,FALSE)</f>
        <v>Central Hospital</v>
      </c>
      <c r="O62" s="52">
        <v>44941</v>
      </c>
      <c r="P62" s="53">
        <v>0.70833333333333326</v>
      </c>
      <c r="Q62" s="51" t="s">
        <v>10</v>
      </c>
      <c r="R62" s="51" t="s">
        <v>15</v>
      </c>
      <c r="S62" s="51" t="str">
        <f>VLOOKUP(appointments7[[#This Row],[Appointment_ID]],Treatments!$A:$F,2,FALSE)</f>
        <v>T061</v>
      </c>
      <c r="T62" s="51" t="str">
        <f>VLOOKUP(appointments7[[#This Row],[Appointment_ID]],Treatments!$A:$F,3,FALSE)</f>
        <v>X-Ray</v>
      </c>
      <c r="U62" s="54">
        <f>VLOOKUP(treatments[[#This Row],[appointment_id]],Treatments!$A:$F,5,FALSE)</f>
        <v>2532.9499999999998</v>
      </c>
      <c r="V62" s="52">
        <f>VLOOKUP(appointments7[[#This Row],[Appointment_ID]],Treatments!$A:$F,6,FALSE)</f>
        <v>44941</v>
      </c>
      <c r="W62" s="52" t="str">
        <f>VLOOKUP(appointments7[[#This Row],[Patient_ID]],Billing!$A:$G,2,FALSE)</f>
        <v>B053</v>
      </c>
      <c r="X62" s="52">
        <f>VLOOKUP(appointments7[[#This Row],[Patient_ID]],Billing!$A:$H,4,FALSE)</f>
        <v>44969</v>
      </c>
      <c r="Y62" s="54">
        <f>VLOOKUP(appointments7[[#This Row],[Patient_ID]],Billing!$A:$G,5,FALSE)</f>
        <v>1565.92</v>
      </c>
      <c r="Z62" s="54" t="str">
        <f>VLOOKUP(appointments7[[#This Row],[Patient_ID]],Billing!$A:$G,6,FALSE)</f>
        <v>Insurance</v>
      </c>
      <c r="AA62" s="52" t="str">
        <f>VLOOKUP(appointments7[[#This Row],[Patient_ID]],Billing!$A:$G,7,FALSE)</f>
        <v>Pending</v>
      </c>
      <c r="AB62" s="2"/>
      <c r="AC62" s="2"/>
    </row>
    <row r="63" spans="1:29" x14ac:dyDescent="0.4">
      <c r="A63" s="51" t="s">
        <v>121</v>
      </c>
      <c r="B63" s="51" t="s">
        <v>50</v>
      </c>
      <c r="C63" s="51" t="s">
        <v>883</v>
      </c>
      <c r="D63" s="51" t="str">
        <f>VLOOKUP(appointments7[[#This Row],[Patient_ID]],Patients!$A:$K,4,FALSE)</f>
        <v>F</v>
      </c>
      <c r="E63" s="52">
        <f>VLOOKUP(appointments7[[#This Row],[Patient_ID]],Patients!$A:$K,5,FALSE)</f>
        <v>33580</v>
      </c>
      <c r="F63" s="51">
        <f>VLOOKUP(appointments7[[#This Row],[Patient_ID]],Patients!$A:$K,6,FALSE)</f>
        <v>8135666049</v>
      </c>
      <c r="G63" s="51" t="str">
        <f>VLOOKUP(appointments7[[#This Row],[Patient_ID]],Patients!$A:$K,7,FALSE)</f>
        <v>321 Maple Dr</v>
      </c>
      <c r="H63" s="52">
        <f>VLOOKUP(appointments7[[#This Row],[Patient_ID]],Patients!$A:$K,8,FALSE)</f>
        <v>45043</v>
      </c>
      <c r="I63" s="51" t="str">
        <f>VLOOKUP(appointments7[[#This Row],[Patient_ID]],Patients!$A:$K,11,FALSE)</f>
        <v>laura.davis@mail.com</v>
      </c>
      <c r="J63" s="51" t="s">
        <v>9</v>
      </c>
      <c r="K63" s="51" t="s">
        <v>908</v>
      </c>
      <c r="L63" s="51" t="str">
        <f>VLOOKUP(appointments7[[#This Row],[Doctor_ID]],Doctors!$A:$H,4,FALSE)</f>
        <v>Pediatrics</v>
      </c>
      <c r="M63" s="51">
        <f>VLOOKUP(appointments7[[#This Row],[Doctor_ID]],Doctors!$A:$H,5,FALSE)</f>
        <v>7387087517</v>
      </c>
      <c r="N63" s="51" t="str">
        <f>VLOOKUP(appointments7[[#This Row],[Doctor_ID]],Doctors!$A:$H,7,FALSE)</f>
        <v>Central Hospital</v>
      </c>
      <c r="O63" s="52">
        <v>45091</v>
      </c>
      <c r="P63" s="53">
        <v>0.63541666666666674</v>
      </c>
      <c r="Q63" s="51" t="s">
        <v>29</v>
      </c>
      <c r="R63" s="51" t="s">
        <v>15</v>
      </c>
      <c r="S63" s="51" t="str">
        <f>VLOOKUP(appointments7[[#This Row],[Appointment_ID]],Treatments!$A:$F,2,FALSE)</f>
        <v>T062</v>
      </c>
      <c r="T63" s="51" t="str">
        <f>VLOOKUP(appointments7[[#This Row],[Appointment_ID]],Treatments!$A:$F,3,FALSE)</f>
        <v>X-Ray</v>
      </c>
      <c r="U63" s="54">
        <f>VLOOKUP(treatments[[#This Row],[appointment_id]],Treatments!$A:$F,5,FALSE)</f>
        <v>3139.74</v>
      </c>
      <c r="V63" s="52">
        <f>VLOOKUP(appointments7[[#This Row],[Appointment_ID]],Treatments!$A:$F,6,FALSE)</f>
        <v>45091</v>
      </c>
      <c r="W63" s="52" t="str">
        <f>VLOOKUP(appointments7[[#This Row],[Patient_ID]],Billing!$A:$G,2,FALSE)</f>
        <v>B014</v>
      </c>
      <c r="X63" s="52">
        <f>VLOOKUP(appointments7[[#This Row],[Patient_ID]],Billing!$A:$H,4,FALSE)</f>
        <v>45071</v>
      </c>
      <c r="Y63" s="54">
        <f>VLOOKUP(appointments7[[#This Row],[Patient_ID]],Billing!$A:$G,5,FALSE)</f>
        <v>2082.3000000000002</v>
      </c>
      <c r="Z63" s="54" t="str">
        <f>VLOOKUP(appointments7[[#This Row],[Patient_ID]],Billing!$A:$G,6,FALSE)</f>
        <v>Credit Card</v>
      </c>
      <c r="AA63" s="52" t="str">
        <f>VLOOKUP(appointments7[[#This Row],[Patient_ID]],Billing!$A:$G,7,FALSE)</f>
        <v>Paid</v>
      </c>
      <c r="AB63" s="2"/>
      <c r="AC63" s="2"/>
    </row>
    <row r="64" spans="1:29" x14ac:dyDescent="0.4">
      <c r="A64" s="51" t="s">
        <v>122</v>
      </c>
      <c r="B64" s="51" t="s">
        <v>123</v>
      </c>
      <c r="C64" s="51" t="s">
        <v>898</v>
      </c>
      <c r="D64" s="51" t="str">
        <f>VLOOKUP(appointments7[[#This Row],[Patient_ID]],Patients!$A:$K,4,FALSE)</f>
        <v>M</v>
      </c>
      <c r="E64" s="52">
        <f>VLOOKUP(appointments7[[#This Row],[Patient_ID]],Patients!$A:$K,5,FALSE)</f>
        <v>34330</v>
      </c>
      <c r="F64" s="51">
        <f>VLOOKUP(appointments7[[#This Row],[Patient_ID]],Patients!$A:$K,6,FALSE)</f>
        <v>8301134730</v>
      </c>
      <c r="G64" s="51" t="str">
        <f>VLOOKUP(appointments7[[#This Row],[Patient_ID]],Patients!$A:$K,7,FALSE)</f>
        <v>321 Maple Dr</v>
      </c>
      <c r="H64" s="52">
        <f>VLOOKUP(appointments7[[#This Row],[Patient_ID]],Patients!$A:$K,8,FALSE)</f>
        <v>45044</v>
      </c>
      <c r="I64" s="51" t="str">
        <f>VLOOKUP(appointments7[[#This Row],[Patient_ID]],Patients!$A:$K,11,FALSE)</f>
        <v>laura.wilson@mail.com</v>
      </c>
      <c r="J64" s="51" t="s">
        <v>14</v>
      </c>
      <c r="K64" s="51" t="s">
        <v>909</v>
      </c>
      <c r="L64" s="51" t="str">
        <f>VLOOKUP(appointments7[[#This Row],[Doctor_ID]],Doctors!$A:$H,4,FALSE)</f>
        <v>Pediatrics</v>
      </c>
      <c r="M64" s="51">
        <f>VLOOKUP(appointments7[[#This Row],[Doctor_ID]],Doctors!$A:$H,5,FALSE)</f>
        <v>6594221991</v>
      </c>
      <c r="N64" s="51" t="str">
        <f>VLOOKUP(appointments7[[#This Row],[Doctor_ID]],Doctors!$A:$H,7,FALSE)</f>
        <v>Central Hospital</v>
      </c>
      <c r="O64" s="52">
        <v>45106</v>
      </c>
      <c r="P64" s="53">
        <v>0.375</v>
      </c>
      <c r="Q64" s="51" t="s">
        <v>38</v>
      </c>
      <c r="R64" s="51" t="s">
        <v>11</v>
      </c>
      <c r="S64" s="51" t="str">
        <f>VLOOKUP(appointments7[[#This Row],[Appointment_ID]],Treatments!$A:$F,2,FALSE)</f>
        <v>T063</v>
      </c>
      <c r="T64" s="51" t="str">
        <f>VLOOKUP(appointments7[[#This Row],[Appointment_ID]],Treatments!$A:$F,3,FALSE)</f>
        <v>MRI</v>
      </c>
      <c r="U64" s="54">
        <f>VLOOKUP(treatments[[#This Row],[appointment_id]],Treatments!$A:$F,5,FALSE)</f>
        <v>1256.06</v>
      </c>
      <c r="V64" s="52">
        <f>VLOOKUP(appointments7[[#This Row],[Appointment_ID]],Treatments!$A:$F,6,FALSE)</f>
        <v>45106</v>
      </c>
      <c r="W64" s="52" t="str">
        <f>VLOOKUP(appointments7[[#This Row],[Patient_ID]],Billing!$A:$G,2,FALSE)</f>
        <v>B063</v>
      </c>
      <c r="X64" s="52">
        <f>VLOOKUP(appointments7[[#This Row],[Patient_ID]],Billing!$A:$H,4,FALSE)</f>
        <v>45106</v>
      </c>
      <c r="Y64" s="54">
        <f>VLOOKUP(appointments7[[#This Row],[Patient_ID]],Billing!$A:$G,5,FALSE)</f>
        <v>1256.06</v>
      </c>
      <c r="Z64" s="54" t="str">
        <f>VLOOKUP(appointments7[[#This Row],[Patient_ID]],Billing!$A:$G,6,FALSE)</f>
        <v>Insurance</v>
      </c>
      <c r="AA64" s="52" t="str">
        <f>VLOOKUP(appointments7[[#This Row],[Patient_ID]],Billing!$A:$G,7,FALSE)</f>
        <v>Failed</v>
      </c>
      <c r="AB64" s="2"/>
      <c r="AC64" s="2"/>
    </row>
    <row r="65" spans="1:29" x14ac:dyDescent="0.4">
      <c r="A65" s="51" t="s">
        <v>124</v>
      </c>
      <c r="B65" s="51" t="s">
        <v>125</v>
      </c>
      <c r="C65" s="51" t="s">
        <v>879</v>
      </c>
      <c r="D65" s="51" t="str">
        <f>VLOOKUP(appointments7[[#This Row],[Patient_ID]],Patients!$A:$K,4,FALSE)</f>
        <v>F</v>
      </c>
      <c r="E65" s="52">
        <f>VLOOKUP(appointments7[[#This Row],[Patient_ID]],Patients!$A:$K,5,FALSE)</f>
        <v>34072</v>
      </c>
      <c r="F65" s="51">
        <f>VLOOKUP(appointments7[[#This Row],[Patient_ID]],Patients!$A:$K,6,FALSE)</f>
        <v>7039619487</v>
      </c>
      <c r="G65" s="51" t="str">
        <f>VLOOKUP(appointments7[[#This Row],[Patient_ID]],Patients!$A:$K,7,FALSE)</f>
        <v>123 Elm St</v>
      </c>
      <c r="H65" s="52">
        <f>VLOOKUP(appointments7[[#This Row],[Patient_ID]],Patients!$A:$K,8,FALSE)</f>
        <v>45116</v>
      </c>
      <c r="I65" s="51" t="str">
        <f>VLOOKUP(appointments7[[#This Row],[Patient_ID]],Patients!$A:$K,11,FALSE)</f>
        <v>david.wilson@mail.com</v>
      </c>
      <c r="J65" s="51" t="s">
        <v>22</v>
      </c>
      <c r="K65" s="51" t="s">
        <v>910</v>
      </c>
      <c r="L65" s="51" t="str">
        <f>VLOOKUP(appointments7[[#This Row],[Doctor_ID]],Doctors!$A:$H,4,FALSE)</f>
        <v>Pediatrics</v>
      </c>
      <c r="M65" s="51">
        <f>VLOOKUP(appointments7[[#This Row],[Doctor_ID]],Doctors!$A:$H,5,FALSE)</f>
        <v>6570137231</v>
      </c>
      <c r="N65" s="51" t="str">
        <f>VLOOKUP(appointments7[[#This Row],[Doctor_ID]],Doctors!$A:$H,7,FALSE)</f>
        <v>Central Hospital</v>
      </c>
      <c r="O65" s="52">
        <v>45077</v>
      </c>
      <c r="P65" s="53">
        <v>0.35416666666666674</v>
      </c>
      <c r="Q65" s="51" t="s">
        <v>29</v>
      </c>
      <c r="R65" s="51" t="s">
        <v>19</v>
      </c>
      <c r="S65" s="51" t="str">
        <f>VLOOKUP(appointments7[[#This Row],[Appointment_ID]],Treatments!$A:$F,2,FALSE)</f>
        <v>T064</v>
      </c>
      <c r="T65" s="51" t="str">
        <f>VLOOKUP(appointments7[[#This Row],[Appointment_ID]],Treatments!$A:$F,3,FALSE)</f>
        <v>Physiotherapy</v>
      </c>
      <c r="U65" s="54">
        <f>VLOOKUP(treatments[[#This Row],[appointment_id]],Treatments!$A:$F,5,FALSE)</f>
        <v>3815.93</v>
      </c>
      <c r="V65" s="52">
        <f>VLOOKUP(appointments7[[#This Row],[Appointment_ID]],Treatments!$A:$F,6,FALSE)</f>
        <v>45077</v>
      </c>
      <c r="W65" s="52" t="str">
        <f>VLOOKUP(appointments7[[#This Row],[Patient_ID]],Billing!$A:$G,2,FALSE)</f>
        <v>B064</v>
      </c>
      <c r="X65" s="52">
        <f>VLOOKUP(appointments7[[#This Row],[Patient_ID]],Billing!$A:$H,4,FALSE)</f>
        <v>45077</v>
      </c>
      <c r="Y65" s="54">
        <f>VLOOKUP(appointments7[[#This Row],[Patient_ID]],Billing!$A:$G,5,FALSE)</f>
        <v>3815.93</v>
      </c>
      <c r="Z65" s="54" t="str">
        <f>VLOOKUP(appointments7[[#This Row],[Patient_ID]],Billing!$A:$G,6,FALSE)</f>
        <v>Cash</v>
      </c>
      <c r="AA65" s="52" t="str">
        <f>VLOOKUP(appointments7[[#This Row],[Patient_ID]],Billing!$A:$G,7,FALSE)</f>
        <v>Paid</v>
      </c>
      <c r="AB65" s="2"/>
      <c r="AC65" s="2"/>
    </row>
    <row r="66" spans="1:29" x14ac:dyDescent="0.4">
      <c r="A66" s="51" t="s">
        <v>126</v>
      </c>
      <c r="B66" s="51" t="s">
        <v>86</v>
      </c>
      <c r="C66" s="51" t="s">
        <v>890</v>
      </c>
      <c r="D66" s="51" t="str">
        <f>VLOOKUP(appointments7[[#This Row],[Patient_ID]],Patients!$A:$K,4,FALSE)</f>
        <v>F</v>
      </c>
      <c r="E66" s="52">
        <f>VLOOKUP(appointments7[[#This Row],[Patient_ID]],Patients!$A:$K,5,FALSE)</f>
        <v>25605</v>
      </c>
      <c r="F66" s="51">
        <f>VLOOKUP(appointments7[[#This Row],[Patient_ID]],Patients!$A:$K,6,FALSE)</f>
        <v>7923214041</v>
      </c>
      <c r="G66" s="51" t="str">
        <f>VLOOKUP(appointments7[[#This Row],[Patient_ID]],Patients!$A:$K,7,FALSE)</f>
        <v>789 Pine Rd</v>
      </c>
      <c r="H66" s="52">
        <f>VLOOKUP(appointments7[[#This Row],[Patient_ID]],Patients!$A:$K,8,FALSE)</f>
        <v>45175</v>
      </c>
      <c r="I66" s="51" t="str">
        <f>VLOOKUP(appointments7[[#This Row],[Patient_ID]],Patients!$A:$K,11,FALSE)</f>
        <v>michael.wilson@mail.com</v>
      </c>
      <c r="J66" s="51" t="s">
        <v>59</v>
      </c>
      <c r="K66" s="51" t="s">
        <v>914</v>
      </c>
      <c r="L66" s="51" t="str">
        <f>VLOOKUP(appointments7[[#This Row],[Doctor_ID]],Doctors!$A:$H,4,FALSE)</f>
        <v>Dermatology</v>
      </c>
      <c r="M66" s="51">
        <f>VLOOKUP(appointments7[[#This Row],[Doctor_ID]],Doctors!$A:$H,5,FALSE)</f>
        <v>8322010158</v>
      </c>
      <c r="N66" s="51" t="str">
        <f>VLOOKUP(appointments7[[#This Row],[Doctor_ID]],Doctors!$A:$H,7,FALSE)</f>
        <v>Westside Clinic</v>
      </c>
      <c r="O66" s="52">
        <v>45040</v>
      </c>
      <c r="P66" s="53">
        <v>0.65625</v>
      </c>
      <c r="Q66" s="51" t="s">
        <v>26</v>
      </c>
      <c r="R66" s="51" t="s">
        <v>19</v>
      </c>
      <c r="S66" s="51" t="str">
        <f>VLOOKUP(appointments7[[#This Row],[Appointment_ID]],Treatments!$A:$F,2,FALSE)</f>
        <v>T065</v>
      </c>
      <c r="T66" s="51" t="str">
        <f>VLOOKUP(appointments7[[#This Row],[Appointment_ID]],Treatments!$A:$F,3,FALSE)</f>
        <v>ECG</v>
      </c>
      <c r="U66" s="54">
        <f>VLOOKUP(treatments[[#This Row],[appointment_id]],Treatments!$A:$F,5,FALSE)</f>
        <v>4382.59</v>
      </c>
      <c r="V66" s="52">
        <f>VLOOKUP(appointments7[[#This Row],[Appointment_ID]],Treatments!$A:$F,6,FALSE)</f>
        <v>45040</v>
      </c>
      <c r="W66" s="52" t="str">
        <f>VLOOKUP(appointments7[[#This Row],[Patient_ID]],Billing!$A:$G,2,FALSE)</f>
        <v>B036</v>
      </c>
      <c r="X66" s="52">
        <f>VLOOKUP(appointments7[[#This Row],[Patient_ID]],Billing!$A:$H,4,FALSE)</f>
        <v>44934</v>
      </c>
      <c r="Y66" s="54">
        <f>VLOOKUP(appointments7[[#This Row],[Patient_ID]],Billing!$A:$G,5,FALSE)</f>
        <v>4833.17</v>
      </c>
      <c r="Z66" s="54" t="str">
        <f>VLOOKUP(appointments7[[#This Row],[Patient_ID]],Billing!$A:$G,6,FALSE)</f>
        <v>Cash</v>
      </c>
      <c r="AA66" s="52" t="str">
        <f>VLOOKUP(appointments7[[#This Row],[Patient_ID]],Billing!$A:$G,7,FALSE)</f>
        <v>Pending</v>
      </c>
      <c r="AB66" s="2"/>
      <c r="AC66" s="2"/>
    </row>
    <row r="67" spans="1:29" x14ac:dyDescent="0.4">
      <c r="A67" s="51" t="s">
        <v>127</v>
      </c>
      <c r="B67" s="51" t="s">
        <v>86</v>
      </c>
      <c r="C67" s="51" t="s">
        <v>890</v>
      </c>
      <c r="D67" s="51" t="str">
        <f>VLOOKUP(appointments7[[#This Row],[Patient_ID]],Patients!$A:$K,4,FALSE)</f>
        <v>F</v>
      </c>
      <c r="E67" s="52">
        <f>VLOOKUP(appointments7[[#This Row],[Patient_ID]],Patients!$A:$K,5,FALSE)</f>
        <v>25605</v>
      </c>
      <c r="F67" s="51">
        <f>VLOOKUP(appointments7[[#This Row],[Patient_ID]],Patients!$A:$K,6,FALSE)</f>
        <v>7923214041</v>
      </c>
      <c r="G67" s="51" t="str">
        <f>VLOOKUP(appointments7[[#This Row],[Patient_ID]],Patients!$A:$K,7,FALSE)</f>
        <v>789 Pine Rd</v>
      </c>
      <c r="H67" s="52">
        <f>VLOOKUP(appointments7[[#This Row],[Patient_ID]],Patients!$A:$K,8,FALSE)</f>
        <v>45175</v>
      </c>
      <c r="I67" s="51" t="str">
        <f>VLOOKUP(appointments7[[#This Row],[Patient_ID]],Patients!$A:$K,11,FALSE)</f>
        <v>michael.wilson@mail.com</v>
      </c>
      <c r="J67" s="51" t="s">
        <v>9</v>
      </c>
      <c r="K67" s="51" t="s">
        <v>908</v>
      </c>
      <c r="L67" s="51" t="str">
        <f>VLOOKUP(appointments7[[#This Row],[Doctor_ID]],Doctors!$A:$H,4,FALSE)</f>
        <v>Pediatrics</v>
      </c>
      <c r="M67" s="51">
        <f>VLOOKUP(appointments7[[#This Row],[Doctor_ID]],Doctors!$A:$H,5,FALSE)</f>
        <v>7387087517</v>
      </c>
      <c r="N67" s="51" t="str">
        <f>VLOOKUP(appointments7[[#This Row],[Doctor_ID]],Doctors!$A:$H,7,FALSE)</f>
        <v>Central Hospital</v>
      </c>
      <c r="O67" s="52">
        <v>45056</v>
      </c>
      <c r="P67" s="53">
        <v>0.48958333333333326</v>
      </c>
      <c r="Q67" s="51" t="s">
        <v>18</v>
      </c>
      <c r="R67" s="51" t="s">
        <v>15</v>
      </c>
      <c r="S67" s="51" t="str">
        <f>VLOOKUP(appointments7[[#This Row],[Appointment_ID]],Treatments!$A:$F,2,FALSE)</f>
        <v>T066</v>
      </c>
      <c r="T67" s="51" t="str">
        <f>VLOOKUP(appointments7[[#This Row],[Appointment_ID]],Treatments!$A:$F,3,FALSE)</f>
        <v>ECG</v>
      </c>
      <c r="U67" s="54">
        <f>VLOOKUP(treatments[[#This Row],[appointment_id]],Treatments!$A:$F,5,FALSE)</f>
        <v>1475.33</v>
      </c>
      <c r="V67" s="52">
        <f>VLOOKUP(appointments7[[#This Row],[Appointment_ID]],Treatments!$A:$F,6,FALSE)</f>
        <v>45056</v>
      </c>
      <c r="W67" s="52" t="str">
        <f>VLOOKUP(appointments7[[#This Row],[Patient_ID]],Billing!$A:$G,2,FALSE)</f>
        <v>B036</v>
      </c>
      <c r="X67" s="52">
        <f>VLOOKUP(appointments7[[#This Row],[Patient_ID]],Billing!$A:$H,4,FALSE)</f>
        <v>44934</v>
      </c>
      <c r="Y67" s="54">
        <f>VLOOKUP(appointments7[[#This Row],[Patient_ID]],Billing!$A:$G,5,FALSE)</f>
        <v>4833.17</v>
      </c>
      <c r="Z67" s="54" t="str">
        <f>VLOOKUP(appointments7[[#This Row],[Patient_ID]],Billing!$A:$G,6,FALSE)</f>
        <v>Cash</v>
      </c>
      <c r="AA67" s="52" t="str">
        <f>VLOOKUP(appointments7[[#This Row],[Patient_ID]],Billing!$A:$G,7,FALSE)</f>
        <v>Pending</v>
      </c>
      <c r="AB67" s="2"/>
      <c r="AC67" s="2"/>
    </row>
    <row r="68" spans="1:29" x14ac:dyDescent="0.4">
      <c r="A68" s="51" t="s">
        <v>128</v>
      </c>
      <c r="B68" s="51" t="s">
        <v>129</v>
      </c>
      <c r="C68" s="51" t="s">
        <v>899</v>
      </c>
      <c r="D68" s="51" t="str">
        <f>VLOOKUP(appointments7[[#This Row],[Patient_ID]],Patients!$A:$K,4,FALSE)</f>
        <v>M</v>
      </c>
      <c r="E68" s="52">
        <f>VLOOKUP(appointments7[[#This Row],[Patient_ID]],Patients!$A:$K,5,FALSE)</f>
        <v>29305</v>
      </c>
      <c r="F68" s="51">
        <f>VLOOKUP(appointments7[[#This Row],[Patient_ID]],Patients!$A:$K,6,FALSE)</f>
        <v>9127665406</v>
      </c>
      <c r="G68" s="51" t="str">
        <f>VLOOKUP(appointments7[[#This Row],[Patient_ID]],Patients!$A:$K,7,FALSE)</f>
        <v>789 Pine Rd</v>
      </c>
      <c r="H68" s="52">
        <f>VLOOKUP(appointments7[[#This Row],[Patient_ID]],Patients!$A:$K,8,FALSE)</f>
        <v>44760</v>
      </c>
      <c r="I68" s="51" t="str">
        <f>VLOOKUP(appointments7[[#This Row],[Patient_ID]],Patients!$A:$K,11,FALSE)</f>
        <v>linda.brown@mail.com</v>
      </c>
      <c r="J68" s="51" t="s">
        <v>59</v>
      </c>
      <c r="K68" s="51" t="s">
        <v>914</v>
      </c>
      <c r="L68" s="51" t="str">
        <f>VLOOKUP(appointments7[[#This Row],[Doctor_ID]],Doctors!$A:$H,4,FALSE)</f>
        <v>Dermatology</v>
      </c>
      <c r="M68" s="51">
        <f>VLOOKUP(appointments7[[#This Row],[Doctor_ID]],Doctors!$A:$H,5,FALSE)</f>
        <v>8322010158</v>
      </c>
      <c r="N68" s="51" t="str">
        <f>VLOOKUP(appointments7[[#This Row],[Doctor_ID]],Doctors!$A:$H,7,FALSE)</f>
        <v>Westside Clinic</v>
      </c>
      <c r="O68" s="52">
        <v>45148</v>
      </c>
      <c r="P68" s="53">
        <v>0.45833333333333326</v>
      </c>
      <c r="Q68" s="51" t="s">
        <v>38</v>
      </c>
      <c r="R68" s="51" t="s">
        <v>11</v>
      </c>
      <c r="S68" s="51" t="str">
        <f>VLOOKUP(appointments7[[#This Row],[Appointment_ID]],Treatments!$A:$F,2,FALSE)</f>
        <v>T067</v>
      </c>
      <c r="T68" s="51" t="str">
        <f>VLOOKUP(appointments7[[#This Row],[Appointment_ID]],Treatments!$A:$F,3,FALSE)</f>
        <v>Chemotherapy</v>
      </c>
      <c r="U68" s="54">
        <f>VLOOKUP(treatments[[#This Row],[appointment_id]],Treatments!$A:$F,5,FALSE)</f>
        <v>930.72</v>
      </c>
      <c r="V68" s="52">
        <f>VLOOKUP(appointments7[[#This Row],[Appointment_ID]],Treatments!$A:$F,6,FALSE)</f>
        <v>45148</v>
      </c>
      <c r="W68" s="52" t="str">
        <f>VLOOKUP(appointments7[[#This Row],[Patient_ID]],Billing!$A:$G,2,FALSE)</f>
        <v>B067</v>
      </c>
      <c r="X68" s="52">
        <f>VLOOKUP(appointments7[[#This Row],[Patient_ID]],Billing!$A:$H,4,FALSE)</f>
        <v>45148</v>
      </c>
      <c r="Y68" s="54">
        <f>VLOOKUP(appointments7[[#This Row],[Patient_ID]],Billing!$A:$G,5,FALSE)</f>
        <v>930.72</v>
      </c>
      <c r="Z68" s="54" t="str">
        <f>VLOOKUP(appointments7[[#This Row],[Patient_ID]],Billing!$A:$G,6,FALSE)</f>
        <v>Credit Card</v>
      </c>
      <c r="AA68" s="52" t="str">
        <f>VLOOKUP(appointments7[[#This Row],[Patient_ID]],Billing!$A:$G,7,FALSE)</f>
        <v>Pending</v>
      </c>
      <c r="AB68" s="2"/>
      <c r="AC68" s="2"/>
    </row>
    <row r="69" spans="1:29" x14ac:dyDescent="0.4">
      <c r="A69" s="51" t="s">
        <v>130</v>
      </c>
      <c r="B69" s="51" t="s">
        <v>56</v>
      </c>
      <c r="C69" s="51" t="s">
        <v>885</v>
      </c>
      <c r="D69" s="51" t="str">
        <f>VLOOKUP(appointments7[[#This Row],[Patient_ID]],Patients!$A:$K,4,FALSE)</f>
        <v>M</v>
      </c>
      <c r="E69" s="52">
        <f>VLOOKUP(appointments7[[#This Row],[Patient_ID]],Patients!$A:$K,5,FALSE)</f>
        <v>36196</v>
      </c>
      <c r="F69" s="51">
        <f>VLOOKUP(appointments7[[#This Row],[Patient_ID]],Patients!$A:$K,6,FALSE)</f>
        <v>8886800195</v>
      </c>
      <c r="G69" s="51" t="str">
        <f>VLOOKUP(appointments7[[#This Row],[Patient_ID]],Patients!$A:$K,7,FALSE)</f>
        <v>456 Oak Ave</v>
      </c>
      <c r="H69" s="52">
        <f>VLOOKUP(appointments7[[#This Row],[Patient_ID]],Patients!$A:$K,8,FALSE)</f>
        <v>44469</v>
      </c>
      <c r="I69" s="51" t="str">
        <f>VLOOKUP(appointments7[[#This Row],[Patient_ID]],Patients!$A:$K,11,FALSE)</f>
        <v>robert.williams@mail.com</v>
      </c>
      <c r="J69" s="51" t="s">
        <v>74</v>
      </c>
      <c r="K69" s="51" t="s">
        <v>915</v>
      </c>
      <c r="L69" s="51" t="str">
        <f>VLOOKUP(appointments7[[#This Row],[Doctor_ID]],Doctors!$A:$H,4,FALSE)</f>
        <v>Dermatology</v>
      </c>
      <c r="M69" s="51">
        <f>VLOOKUP(appointments7[[#This Row],[Doctor_ID]],Doctors!$A:$H,5,FALSE)</f>
        <v>9118538547</v>
      </c>
      <c r="N69" s="51" t="str">
        <f>VLOOKUP(appointments7[[#This Row],[Doctor_ID]],Doctors!$A:$H,7,FALSE)</f>
        <v>Central Hospital</v>
      </c>
      <c r="O69" s="52">
        <v>44999</v>
      </c>
      <c r="P69" s="53">
        <v>0.625</v>
      </c>
      <c r="Q69" s="51" t="s">
        <v>29</v>
      </c>
      <c r="R69" s="51" t="s">
        <v>11</v>
      </c>
      <c r="S69" s="51" t="str">
        <f>VLOOKUP(appointments7[[#This Row],[Appointment_ID]],Treatments!$A:$F,2,FALSE)</f>
        <v>T068</v>
      </c>
      <c r="T69" s="51" t="str">
        <f>VLOOKUP(appointments7[[#This Row],[Appointment_ID]],Treatments!$A:$F,3,FALSE)</f>
        <v>ECG</v>
      </c>
      <c r="U69" s="54">
        <f>VLOOKUP(treatments[[#This Row],[appointment_id]],Treatments!$A:$F,5,FALSE)</f>
        <v>606.37</v>
      </c>
      <c r="V69" s="52">
        <f>VLOOKUP(appointments7[[#This Row],[Appointment_ID]],Treatments!$A:$F,6,FALSE)</f>
        <v>44999</v>
      </c>
      <c r="W69" s="52" t="str">
        <f>VLOOKUP(appointments7[[#This Row],[Patient_ID]],Billing!$A:$G,2,FALSE)</f>
        <v>B017</v>
      </c>
      <c r="X69" s="52">
        <f>VLOOKUP(appointments7[[#This Row],[Patient_ID]],Billing!$A:$H,4,FALSE)</f>
        <v>45118</v>
      </c>
      <c r="Y69" s="54">
        <f>VLOOKUP(appointments7[[#This Row],[Patient_ID]],Billing!$A:$G,5,FALSE)</f>
        <v>1655.49</v>
      </c>
      <c r="Z69" s="54" t="str">
        <f>VLOOKUP(appointments7[[#This Row],[Patient_ID]],Billing!$A:$G,6,FALSE)</f>
        <v>Credit Card</v>
      </c>
      <c r="AA69" s="52" t="str">
        <f>VLOOKUP(appointments7[[#This Row],[Patient_ID]],Billing!$A:$G,7,FALSE)</f>
        <v>Pending</v>
      </c>
      <c r="AB69" s="2"/>
      <c r="AC69" s="2"/>
    </row>
    <row r="70" spans="1:29" x14ac:dyDescent="0.4">
      <c r="A70" s="51" t="s">
        <v>131</v>
      </c>
      <c r="B70" s="51" t="s">
        <v>50</v>
      </c>
      <c r="C70" s="51" t="s">
        <v>883</v>
      </c>
      <c r="D70" s="51" t="str">
        <f>VLOOKUP(appointments7[[#This Row],[Patient_ID]],Patients!$A:$K,4,FALSE)</f>
        <v>F</v>
      </c>
      <c r="E70" s="52">
        <f>VLOOKUP(appointments7[[#This Row],[Patient_ID]],Patients!$A:$K,5,FALSE)</f>
        <v>33580</v>
      </c>
      <c r="F70" s="51">
        <f>VLOOKUP(appointments7[[#This Row],[Patient_ID]],Patients!$A:$K,6,FALSE)</f>
        <v>8135666049</v>
      </c>
      <c r="G70" s="51" t="str">
        <f>VLOOKUP(appointments7[[#This Row],[Patient_ID]],Patients!$A:$K,7,FALSE)</f>
        <v>321 Maple Dr</v>
      </c>
      <c r="H70" s="52">
        <f>VLOOKUP(appointments7[[#This Row],[Patient_ID]],Patients!$A:$K,8,FALSE)</f>
        <v>45043</v>
      </c>
      <c r="I70" s="51" t="str">
        <f>VLOOKUP(appointments7[[#This Row],[Patient_ID]],Patients!$A:$K,11,FALSE)</f>
        <v>laura.davis@mail.com</v>
      </c>
      <c r="J70" s="51" t="s">
        <v>14</v>
      </c>
      <c r="K70" s="51" t="s">
        <v>909</v>
      </c>
      <c r="L70" s="51" t="str">
        <f>VLOOKUP(appointments7[[#This Row],[Doctor_ID]],Doctors!$A:$H,4,FALSE)</f>
        <v>Pediatrics</v>
      </c>
      <c r="M70" s="51">
        <f>VLOOKUP(appointments7[[#This Row],[Doctor_ID]],Doctors!$A:$H,5,FALSE)</f>
        <v>6594221991</v>
      </c>
      <c r="N70" s="51" t="str">
        <f>VLOOKUP(appointments7[[#This Row],[Doctor_ID]],Doctors!$A:$H,7,FALSE)</f>
        <v>Central Hospital</v>
      </c>
      <c r="O70" s="52">
        <v>45014</v>
      </c>
      <c r="P70" s="53">
        <v>0.64583333333333326</v>
      </c>
      <c r="Q70" s="51" t="s">
        <v>10</v>
      </c>
      <c r="R70" s="51" t="s">
        <v>19</v>
      </c>
      <c r="S70" s="51" t="str">
        <f>VLOOKUP(appointments7[[#This Row],[Appointment_ID]],Treatments!$A:$F,2,FALSE)</f>
        <v>T069</v>
      </c>
      <c r="T70" s="51" t="str">
        <f>VLOOKUP(appointments7[[#This Row],[Appointment_ID]],Treatments!$A:$F,3,FALSE)</f>
        <v>MRI</v>
      </c>
      <c r="U70" s="54">
        <f>VLOOKUP(treatments[[#This Row],[appointment_id]],Treatments!$A:$F,5,FALSE)</f>
        <v>3388.87</v>
      </c>
      <c r="V70" s="52">
        <f>VLOOKUP(appointments7[[#This Row],[Appointment_ID]],Treatments!$A:$F,6,FALSE)</f>
        <v>45014</v>
      </c>
      <c r="W70" s="52" t="str">
        <f>VLOOKUP(appointments7[[#This Row],[Patient_ID]],Billing!$A:$G,2,FALSE)</f>
        <v>B014</v>
      </c>
      <c r="X70" s="52">
        <f>VLOOKUP(appointments7[[#This Row],[Patient_ID]],Billing!$A:$H,4,FALSE)</f>
        <v>45071</v>
      </c>
      <c r="Y70" s="54">
        <f>VLOOKUP(appointments7[[#This Row],[Patient_ID]],Billing!$A:$G,5,FALSE)</f>
        <v>2082.3000000000002</v>
      </c>
      <c r="Z70" s="54" t="str">
        <f>VLOOKUP(appointments7[[#This Row],[Patient_ID]],Billing!$A:$G,6,FALSE)</f>
        <v>Credit Card</v>
      </c>
      <c r="AA70" s="52" t="str">
        <f>VLOOKUP(appointments7[[#This Row],[Patient_ID]],Billing!$A:$G,7,FALSE)</f>
        <v>Paid</v>
      </c>
      <c r="AB70" s="2"/>
      <c r="AC70" s="2"/>
    </row>
    <row r="71" spans="1:29" x14ac:dyDescent="0.4">
      <c r="A71" s="51" t="s">
        <v>132</v>
      </c>
      <c r="B71" s="51" t="s">
        <v>47</v>
      </c>
      <c r="C71" s="51" t="s">
        <v>882</v>
      </c>
      <c r="D71" s="51" t="str">
        <f>VLOOKUP(appointments7[[#This Row],[Patient_ID]],Patients!$A:$K,4,FALSE)</f>
        <v>M</v>
      </c>
      <c r="E71" s="52">
        <f>VLOOKUP(appointments7[[#This Row],[Patient_ID]],Patients!$A:$K,5,FALSE)</f>
        <v>28358</v>
      </c>
      <c r="F71" s="51">
        <f>VLOOKUP(appointments7[[#This Row],[Patient_ID]],Patients!$A:$K,6,FALSE)</f>
        <v>8397029847</v>
      </c>
      <c r="G71" s="51" t="str">
        <f>VLOOKUP(appointments7[[#This Row],[Patient_ID]],Patients!$A:$K,7,FALSE)</f>
        <v>321 Maple Dr</v>
      </c>
      <c r="H71" s="52">
        <f>VLOOKUP(appointments7[[#This Row],[Patient_ID]],Patients!$A:$K,8,FALSE)</f>
        <v>44599</v>
      </c>
      <c r="I71" s="51" t="str">
        <f>VLOOKUP(appointments7[[#This Row],[Patient_ID]],Patients!$A:$K,11,FALSE)</f>
        <v>laura.jones@mail.com</v>
      </c>
      <c r="J71" s="51" t="s">
        <v>25</v>
      </c>
      <c r="K71" s="51" t="s">
        <v>906</v>
      </c>
      <c r="L71" s="51" t="str">
        <f>VLOOKUP(appointments7[[#This Row],[Doctor_ID]],Doctors!$A:$H,4,FALSE)</f>
        <v>Pediatrics</v>
      </c>
      <c r="M71" s="51">
        <f>VLOOKUP(appointments7[[#This Row],[Doctor_ID]],Doctors!$A:$H,5,FALSE)</f>
        <v>8737740598</v>
      </c>
      <c r="N71" s="51" t="str">
        <f>VLOOKUP(appointments7[[#This Row],[Doctor_ID]],Doctors!$A:$H,7,FALSE)</f>
        <v>Eastside Clinic</v>
      </c>
      <c r="O71" s="52">
        <v>45164</v>
      </c>
      <c r="P71" s="53">
        <v>0.70833333333333326</v>
      </c>
      <c r="Q71" s="51" t="s">
        <v>38</v>
      </c>
      <c r="R71" s="51" t="s">
        <v>11</v>
      </c>
      <c r="S71" s="51" t="str">
        <f>VLOOKUP(appointments7[[#This Row],[Appointment_ID]],Treatments!$A:$F,2,FALSE)</f>
        <v>T070</v>
      </c>
      <c r="T71" s="51" t="str">
        <f>VLOOKUP(appointments7[[#This Row],[Appointment_ID]],Treatments!$A:$F,3,FALSE)</f>
        <v>MRI</v>
      </c>
      <c r="U71" s="54">
        <f>VLOOKUP(treatments[[#This Row],[appointment_id]],Treatments!$A:$F,5,FALSE)</f>
        <v>3231.92</v>
      </c>
      <c r="V71" s="52">
        <f>VLOOKUP(appointments7[[#This Row],[Appointment_ID]],Treatments!$A:$F,6,FALSE)</f>
        <v>45164</v>
      </c>
      <c r="W71" s="52" t="str">
        <f>VLOOKUP(appointments7[[#This Row],[Patient_ID]],Billing!$A:$G,2,FALSE)</f>
        <v>B013</v>
      </c>
      <c r="X71" s="52">
        <f>VLOOKUP(appointments7[[#This Row],[Patient_ID]],Billing!$A:$H,4,FALSE)</f>
        <v>45154</v>
      </c>
      <c r="Y71" s="54">
        <f>VLOOKUP(appointments7[[#This Row],[Patient_ID]],Billing!$A:$G,5,FALSE)</f>
        <v>4704.96</v>
      </c>
      <c r="Z71" s="54" t="str">
        <f>VLOOKUP(appointments7[[#This Row],[Patient_ID]],Billing!$A:$G,6,FALSE)</f>
        <v>Cash</v>
      </c>
      <c r="AA71" s="52" t="str">
        <f>VLOOKUP(appointments7[[#This Row],[Patient_ID]],Billing!$A:$G,7,FALSE)</f>
        <v>Paid</v>
      </c>
      <c r="AB71" s="2"/>
      <c r="AC71" s="2"/>
    </row>
    <row r="72" spans="1:29" x14ac:dyDescent="0.4">
      <c r="A72" s="51" t="s">
        <v>133</v>
      </c>
      <c r="B72" s="51" t="s">
        <v>31</v>
      </c>
      <c r="C72" s="51" t="s">
        <v>876</v>
      </c>
      <c r="D72" s="51" t="str">
        <f>VLOOKUP(appointments7[[#This Row],[Patient_ID]],Patients!$A:$K,4,FALSE)</f>
        <v>F</v>
      </c>
      <c r="E72" s="52">
        <f>VLOOKUP(appointments7[[#This Row],[Patient_ID]],Patients!$A:$K,5,FALSE)</f>
        <v>20244</v>
      </c>
      <c r="F72" s="51">
        <f>VLOOKUP(appointments7[[#This Row],[Patient_ID]],Patients!$A:$K,6,FALSE)</f>
        <v>6939585183</v>
      </c>
      <c r="G72" s="51" t="str">
        <f>VLOOKUP(appointments7[[#This Row],[Patient_ID]],Patients!$A:$K,7,FALSE)</f>
        <v>789 Pine Rd</v>
      </c>
      <c r="H72" s="52">
        <f>VLOOKUP(appointments7[[#This Row],[Patient_ID]],Patients!$A:$K,8,FALSE)</f>
        <v>44735</v>
      </c>
      <c r="I72" s="51" t="str">
        <f>VLOOKUP(appointments7[[#This Row],[Patient_ID]],Patients!$A:$K,11,FALSE)</f>
        <v>david.williams@mail.com</v>
      </c>
      <c r="J72" s="51" t="s">
        <v>22</v>
      </c>
      <c r="K72" s="51" t="s">
        <v>910</v>
      </c>
      <c r="L72" s="51" t="str">
        <f>VLOOKUP(appointments7[[#This Row],[Doctor_ID]],Doctors!$A:$H,4,FALSE)</f>
        <v>Pediatrics</v>
      </c>
      <c r="M72" s="51">
        <f>VLOOKUP(appointments7[[#This Row],[Doctor_ID]],Doctors!$A:$H,5,FALSE)</f>
        <v>6570137231</v>
      </c>
      <c r="N72" s="51" t="str">
        <f>VLOOKUP(appointments7[[#This Row],[Doctor_ID]],Doctors!$A:$H,7,FALSE)</f>
        <v>Central Hospital</v>
      </c>
      <c r="O72" s="52">
        <v>44952</v>
      </c>
      <c r="P72" s="53">
        <v>0.70833333333333326</v>
      </c>
      <c r="Q72" s="51" t="s">
        <v>38</v>
      </c>
      <c r="R72" s="51" t="s">
        <v>11</v>
      </c>
      <c r="S72" s="51" t="str">
        <f>VLOOKUP(appointments7[[#This Row],[Appointment_ID]],Treatments!$A:$F,2,FALSE)</f>
        <v>T071</v>
      </c>
      <c r="T72" s="51" t="str">
        <f>VLOOKUP(appointments7[[#This Row],[Appointment_ID]],Treatments!$A:$F,3,FALSE)</f>
        <v>ECG</v>
      </c>
      <c r="U72" s="54">
        <f>VLOOKUP(treatments[[#This Row],[appointment_id]],Treatments!$A:$F,5,FALSE)</f>
        <v>2960.14</v>
      </c>
      <c r="V72" s="52">
        <f>VLOOKUP(appointments7[[#This Row],[Appointment_ID]],Treatments!$A:$F,6,FALSE)</f>
        <v>44952</v>
      </c>
      <c r="W72" s="52" t="str">
        <f>VLOOKUP(appointments7[[#This Row],[Patient_ID]],Billing!$A:$G,2,FALSE)</f>
        <v>B007</v>
      </c>
      <c r="X72" s="52">
        <f>VLOOKUP(appointments7[[#This Row],[Patient_ID]],Billing!$A:$H,4,FALSE)</f>
        <v>45025</v>
      </c>
      <c r="Y72" s="54">
        <f>VLOOKUP(appointments7[[#This Row],[Patient_ID]],Billing!$A:$G,5,FALSE)</f>
        <v>534.03</v>
      </c>
      <c r="Z72" s="54" t="str">
        <f>VLOOKUP(appointments7[[#This Row],[Patient_ID]],Billing!$A:$G,6,FALSE)</f>
        <v>Cash</v>
      </c>
      <c r="AA72" s="52" t="str">
        <f>VLOOKUP(appointments7[[#This Row],[Patient_ID]],Billing!$A:$G,7,FALSE)</f>
        <v>Failed</v>
      </c>
      <c r="AB72" s="2"/>
      <c r="AC72" s="2"/>
    </row>
    <row r="73" spans="1:29" x14ac:dyDescent="0.4">
      <c r="A73" s="51" t="s">
        <v>134</v>
      </c>
      <c r="B73" s="51" t="s">
        <v>86</v>
      </c>
      <c r="C73" s="51" t="s">
        <v>890</v>
      </c>
      <c r="D73" s="51" t="str">
        <f>VLOOKUP(appointments7[[#This Row],[Patient_ID]],Patients!$A:$K,4,FALSE)</f>
        <v>F</v>
      </c>
      <c r="E73" s="52">
        <f>VLOOKUP(appointments7[[#This Row],[Patient_ID]],Patients!$A:$K,5,FALSE)</f>
        <v>25605</v>
      </c>
      <c r="F73" s="51">
        <f>VLOOKUP(appointments7[[#This Row],[Patient_ID]],Patients!$A:$K,6,FALSE)</f>
        <v>7923214041</v>
      </c>
      <c r="G73" s="51" t="str">
        <f>VLOOKUP(appointments7[[#This Row],[Patient_ID]],Patients!$A:$K,7,FALSE)</f>
        <v>789 Pine Rd</v>
      </c>
      <c r="H73" s="52">
        <f>VLOOKUP(appointments7[[#This Row],[Patient_ID]],Patients!$A:$K,8,FALSE)</f>
        <v>45175</v>
      </c>
      <c r="I73" s="51" t="str">
        <f>VLOOKUP(appointments7[[#This Row],[Patient_ID]],Patients!$A:$K,11,FALSE)</f>
        <v>michael.wilson@mail.com</v>
      </c>
      <c r="J73" s="51" t="s">
        <v>48</v>
      </c>
      <c r="K73" s="51" t="s">
        <v>913</v>
      </c>
      <c r="L73" s="51" t="str">
        <f>VLOOKUP(appointments7[[#This Row],[Doctor_ID]],Doctors!$A:$H,4,FALSE)</f>
        <v>Pediatrics</v>
      </c>
      <c r="M73" s="51">
        <f>VLOOKUP(appointments7[[#This Row],[Doctor_ID]],Doctors!$A:$H,5,FALSE)</f>
        <v>9004382050</v>
      </c>
      <c r="N73" s="51" t="str">
        <f>VLOOKUP(appointments7[[#This Row],[Doctor_ID]],Doctors!$A:$H,7,FALSE)</f>
        <v>Eastside Clinic</v>
      </c>
      <c r="O73" s="52">
        <v>45089</v>
      </c>
      <c r="P73" s="53">
        <v>0.5625</v>
      </c>
      <c r="Q73" s="51" t="s">
        <v>29</v>
      </c>
      <c r="R73" s="51" t="s">
        <v>11</v>
      </c>
      <c r="S73" s="51" t="str">
        <f>VLOOKUP(appointments7[[#This Row],[Appointment_ID]],Treatments!$A:$F,2,FALSE)</f>
        <v>T072</v>
      </c>
      <c r="T73" s="51" t="str">
        <f>VLOOKUP(appointments7[[#This Row],[Appointment_ID]],Treatments!$A:$F,3,FALSE)</f>
        <v>ECG</v>
      </c>
      <c r="U73" s="54">
        <f>VLOOKUP(treatments[[#This Row],[appointment_id]],Treatments!$A:$F,5,FALSE)</f>
        <v>1543.76</v>
      </c>
      <c r="V73" s="52">
        <f>VLOOKUP(appointments7[[#This Row],[Appointment_ID]],Treatments!$A:$F,6,FALSE)</f>
        <v>45089</v>
      </c>
      <c r="W73" s="52" t="str">
        <f>VLOOKUP(appointments7[[#This Row],[Patient_ID]],Billing!$A:$G,2,FALSE)</f>
        <v>B036</v>
      </c>
      <c r="X73" s="52">
        <f>VLOOKUP(appointments7[[#This Row],[Patient_ID]],Billing!$A:$H,4,FALSE)</f>
        <v>44934</v>
      </c>
      <c r="Y73" s="54">
        <f>VLOOKUP(appointments7[[#This Row],[Patient_ID]],Billing!$A:$G,5,FALSE)</f>
        <v>4833.17</v>
      </c>
      <c r="Z73" s="54" t="str">
        <f>VLOOKUP(appointments7[[#This Row],[Patient_ID]],Billing!$A:$G,6,FALSE)</f>
        <v>Cash</v>
      </c>
      <c r="AA73" s="52" t="str">
        <f>VLOOKUP(appointments7[[#This Row],[Patient_ID]],Billing!$A:$G,7,FALSE)</f>
        <v>Pending</v>
      </c>
      <c r="AB73" s="2"/>
      <c r="AC73" s="2"/>
    </row>
    <row r="74" spans="1:29" x14ac:dyDescent="0.4">
      <c r="A74" s="51" t="s">
        <v>135</v>
      </c>
      <c r="B74" s="51" t="s">
        <v>24</v>
      </c>
      <c r="C74" s="51" t="s">
        <v>874</v>
      </c>
      <c r="D74" s="51" t="str">
        <f>VLOOKUP(appointments7[[#This Row],[Patient_ID]],Patients!$A:$K,4,FALSE)</f>
        <v>M</v>
      </c>
      <c r="E74" s="52">
        <f>VLOOKUP(appointments7[[#This Row],[Patient_ID]],Patients!$A:$K,5,FALSE)</f>
        <v>26449</v>
      </c>
      <c r="F74" s="51">
        <f>VLOOKUP(appointments7[[#This Row],[Patient_ID]],Patients!$A:$K,6,FALSE)</f>
        <v>7587653815</v>
      </c>
      <c r="G74" s="51" t="str">
        <f>VLOOKUP(appointments7[[#This Row],[Patient_ID]],Patients!$A:$K,7,FALSE)</f>
        <v>456 Oak Ave</v>
      </c>
      <c r="H74" s="52">
        <f>VLOOKUP(appointments7[[#This Row],[Patient_ID]],Patients!$A:$K,8,FALSE)</f>
        <v>44485</v>
      </c>
      <c r="I74" s="51" t="str">
        <f>VLOOKUP(appointments7[[#This Row],[Patient_ID]],Patients!$A:$K,11,FALSE)</f>
        <v>emily.williams@mail.com</v>
      </c>
      <c r="J74" s="51" t="s">
        <v>25</v>
      </c>
      <c r="K74" s="51" t="s">
        <v>906</v>
      </c>
      <c r="L74" s="51" t="str">
        <f>VLOOKUP(appointments7[[#This Row],[Doctor_ID]],Doctors!$A:$H,4,FALSE)</f>
        <v>Pediatrics</v>
      </c>
      <c r="M74" s="51">
        <f>VLOOKUP(appointments7[[#This Row],[Doctor_ID]],Doctors!$A:$H,5,FALSE)</f>
        <v>8737740598</v>
      </c>
      <c r="N74" s="51" t="str">
        <f>VLOOKUP(appointments7[[#This Row],[Doctor_ID]],Doctors!$A:$H,7,FALSE)</f>
        <v>Eastside Clinic</v>
      </c>
      <c r="O74" s="52">
        <v>45284</v>
      </c>
      <c r="P74" s="53">
        <v>0.625</v>
      </c>
      <c r="Q74" s="51" t="s">
        <v>38</v>
      </c>
      <c r="R74" s="51" t="s">
        <v>41</v>
      </c>
      <c r="S74" s="51" t="str">
        <f>VLOOKUP(appointments7[[#This Row],[Appointment_ID]],Treatments!$A:$F,2,FALSE)</f>
        <v>T073</v>
      </c>
      <c r="T74" s="51" t="str">
        <f>VLOOKUP(appointments7[[#This Row],[Appointment_ID]],Treatments!$A:$F,3,FALSE)</f>
        <v>Chemotherapy</v>
      </c>
      <c r="U74" s="54">
        <f>VLOOKUP(treatments[[#This Row],[appointment_id]],Treatments!$A:$F,5,FALSE)</f>
        <v>2259.08</v>
      </c>
      <c r="V74" s="52">
        <f>VLOOKUP(appointments7[[#This Row],[Appointment_ID]],Treatments!$A:$F,6,FALSE)</f>
        <v>45284</v>
      </c>
      <c r="W74" s="52" t="str">
        <f>VLOOKUP(appointments7[[#This Row],[Patient_ID]],Billing!$A:$G,2,FALSE)</f>
        <v>B005</v>
      </c>
      <c r="X74" s="52">
        <f>VLOOKUP(appointments7[[#This Row],[Patient_ID]],Billing!$A:$H,4,FALSE)</f>
        <v>45113</v>
      </c>
      <c r="Y74" s="54">
        <f>VLOOKUP(appointments7[[#This Row],[Patient_ID]],Billing!$A:$G,5,FALSE)</f>
        <v>582.04999999999995</v>
      </c>
      <c r="Z74" s="54" t="str">
        <f>VLOOKUP(appointments7[[#This Row],[Patient_ID]],Billing!$A:$G,6,FALSE)</f>
        <v>Credit Card</v>
      </c>
      <c r="AA74" s="52" t="str">
        <f>VLOOKUP(appointments7[[#This Row],[Patient_ID]],Billing!$A:$G,7,FALSE)</f>
        <v>Pending</v>
      </c>
      <c r="AB74" s="2"/>
      <c r="AC74" s="2"/>
    </row>
    <row r="75" spans="1:29" x14ac:dyDescent="0.4">
      <c r="A75" s="51" t="s">
        <v>136</v>
      </c>
      <c r="B75" s="51" t="s">
        <v>92</v>
      </c>
      <c r="C75" s="51" t="s">
        <v>877</v>
      </c>
      <c r="D75" s="51" t="str">
        <f>VLOOKUP(appointments7[[#This Row],[Patient_ID]],Patients!$A:$K,4,FALSE)</f>
        <v>M</v>
      </c>
      <c r="E75" s="52">
        <f>VLOOKUP(appointments7[[#This Row],[Patient_ID]],Patients!$A:$K,5,FALSE)</f>
        <v>37177</v>
      </c>
      <c r="F75" s="51">
        <f>VLOOKUP(appointments7[[#This Row],[Patient_ID]],Patients!$A:$K,6,FALSE)</f>
        <v>7081396733</v>
      </c>
      <c r="G75" s="51" t="str">
        <f>VLOOKUP(appointments7[[#This Row],[Patient_ID]],Patients!$A:$K,7,FALSE)</f>
        <v>123 Elm St</v>
      </c>
      <c r="H75" s="52">
        <f>VLOOKUP(appointments7[[#This Row],[Patient_ID]],Patients!$A:$K,8,FALSE)</f>
        <v>44797</v>
      </c>
      <c r="I75" s="51" t="str">
        <f>VLOOKUP(appointments7[[#This Row],[Patient_ID]],Patients!$A:$K,11,FALSE)</f>
        <v>michael.taylor@mail.com</v>
      </c>
      <c r="J75" s="51" t="s">
        <v>74</v>
      </c>
      <c r="K75" s="51" t="s">
        <v>915</v>
      </c>
      <c r="L75" s="51" t="str">
        <f>VLOOKUP(appointments7[[#This Row],[Doctor_ID]],Doctors!$A:$H,4,FALSE)</f>
        <v>Dermatology</v>
      </c>
      <c r="M75" s="51">
        <f>VLOOKUP(appointments7[[#This Row],[Doctor_ID]],Doctors!$A:$H,5,FALSE)</f>
        <v>9118538547</v>
      </c>
      <c r="N75" s="51" t="str">
        <f>VLOOKUP(appointments7[[#This Row],[Doctor_ID]],Doctors!$A:$H,7,FALSE)</f>
        <v>Central Hospital</v>
      </c>
      <c r="O75" s="52">
        <v>45130</v>
      </c>
      <c r="P75" s="53">
        <v>0.5625</v>
      </c>
      <c r="Q75" s="51" t="s">
        <v>10</v>
      </c>
      <c r="R75" s="51" t="s">
        <v>15</v>
      </c>
      <c r="S75" s="51" t="str">
        <f>VLOOKUP(appointments7[[#This Row],[Appointment_ID]],Treatments!$A:$F,2,FALSE)</f>
        <v>T074</v>
      </c>
      <c r="T75" s="51" t="str">
        <f>VLOOKUP(appointments7[[#This Row],[Appointment_ID]],Treatments!$A:$F,3,FALSE)</f>
        <v>ECG</v>
      </c>
      <c r="U75" s="54">
        <f>VLOOKUP(treatments[[#This Row],[appointment_id]],Treatments!$A:$F,5,FALSE)</f>
        <v>3175.14</v>
      </c>
      <c r="V75" s="52">
        <f>VLOOKUP(appointments7[[#This Row],[Appointment_ID]],Treatments!$A:$F,6,FALSE)</f>
        <v>45130</v>
      </c>
      <c r="W75" s="52" t="str">
        <f>VLOOKUP(appointments7[[#This Row],[Patient_ID]],Billing!$A:$G,2,FALSE)</f>
        <v>B040</v>
      </c>
      <c r="X75" s="52">
        <f>VLOOKUP(appointments7[[#This Row],[Patient_ID]],Billing!$A:$H,4,FALSE)</f>
        <v>45012</v>
      </c>
      <c r="Y75" s="54">
        <f>VLOOKUP(appointments7[[#This Row],[Patient_ID]],Billing!$A:$G,5,FALSE)</f>
        <v>695.36</v>
      </c>
      <c r="Z75" s="54" t="str">
        <f>VLOOKUP(appointments7[[#This Row],[Patient_ID]],Billing!$A:$G,6,FALSE)</f>
        <v>Cash</v>
      </c>
      <c r="AA75" s="52" t="str">
        <f>VLOOKUP(appointments7[[#This Row],[Patient_ID]],Billing!$A:$G,7,FALSE)</f>
        <v>Failed</v>
      </c>
      <c r="AB75" s="2"/>
      <c r="AC75" s="2"/>
    </row>
    <row r="76" spans="1:29" x14ac:dyDescent="0.4">
      <c r="A76" s="51" t="s">
        <v>137</v>
      </c>
      <c r="B76" s="51" t="s">
        <v>129</v>
      </c>
      <c r="C76" s="51" t="s">
        <v>899</v>
      </c>
      <c r="D76" s="51" t="str">
        <f>VLOOKUP(appointments7[[#This Row],[Patient_ID]],Patients!$A:$K,4,FALSE)</f>
        <v>M</v>
      </c>
      <c r="E76" s="52">
        <f>VLOOKUP(appointments7[[#This Row],[Patient_ID]],Patients!$A:$K,5,FALSE)</f>
        <v>29305</v>
      </c>
      <c r="F76" s="51">
        <f>VLOOKUP(appointments7[[#This Row],[Patient_ID]],Patients!$A:$K,6,FALSE)</f>
        <v>9127665406</v>
      </c>
      <c r="G76" s="51" t="str">
        <f>VLOOKUP(appointments7[[#This Row],[Patient_ID]],Patients!$A:$K,7,FALSE)</f>
        <v>789 Pine Rd</v>
      </c>
      <c r="H76" s="52">
        <f>VLOOKUP(appointments7[[#This Row],[Patient_ID]],Patients!$A:$K,8,FALSE)</f>
        <v>44760</v>
      </c>
      <c r="I76" s="51" t="str">
        <f>VLOOKUP(appointments7[[#This Row],[Patient_ID]],Patients!$A:$K,11,FALSE)</f>
        <v>linda.brown@mail.com</v>
      </c>
      <c r="J76" s="51" t="s">
        <v>9</v>
      </c>
      <c r="K76" s="51" t="s">
        <v>908</v>
      </c>
      <c r="L76" s="51" t="str">
        <f>VLOOKUP(appointments7[[#This Row],[Doctor_ID]],Doctors!$A:$H,4,FALSE)</f>
        <v>Pediatrics</v>
      </c>
      <c r="M76" s="51">
        <f>VLOOKUP(appointments7[[#This Row],[Doctor_ID]],Doctors!$A:$H,5,FALSE)</f>
        <v>7387087517</v>
      </c>
      <c r="N76" s="51" t="str">
        <f>VLOOKUP(appointments7[[#This Row],[Doctor_ID]],Doctors!$A:$H,7,FALSE)</f>
        <v>Central Hospital</v>
      </c>
      <c r="O76" s="52">
        <v>45054</v>
      </c>
      <c r="P76" s="53">
        <v>0.58333333333333326</v>
      </c>
      <c r="Q76" s="51" t="s">
        <v>38</v>
      </c>
      <c r="R76" s="51" t="s">
        <v>19</v>
      </c>
      <c r="S76" s="51" t="str">
        <f>VLOOKUP(appointments7[[#This Row],[Appointment_ID]],Treatments!$A:$F,2,FALSE)</f>
        <v>T075</v>
      </c>
      <c r="T76" s="51" t="str">
        <f>VLOOKUP(appointments7[[#This Row],[Appointment_ID]],Treatments!$A:$F,3,FALSE)</f>
        <v>Chemotherapy</v>
      </c>
      <c r="U76" s="54">
        <f>VLOOKUP(treatments[[#This Row],[appointment_id]],Treatments!$A:$F,5,FALSE)</f>
        <v>2735.45</v>
      </c>
      <c r="V76" s="52">
        <f>VLOOKUP(appointments7[[#This Row],[Appointment_ID]],Treatments!$A:$F,6,FALSE)</f>
        <v>45054</v>
      </c>
      <c r="W76" s="52" t="str">
        <f>VLOOKUP(appointments7[[#This Row],[Patient_ID]],Billing!$A:$G,2,FALSE)</f>
        <v>B067</v>
      </c>
      <c r="X76" s="52">
        <f>VLOOKUP(appointments7[[#This Row],[Patient_ID]],Billing!$A:$H,4,FALSE)</f>
        <v>45148</v>
      </c>
      <c r="Y76" s="54">
        <f>VLOOKUP(appointments7[[#This Row],[Patient_ID]],Billing!$A:$G,5,FALSE)</f>
        <v>930.72</v>
      </c>
      <c r="Z76" s="54" t="str">
        <f>VLOOKUP(appointments7[[#This Row],[Patient_ID]],Billing!$A:$G,6,FALSE)</f>
        <v>Credit Card</v>
      </c>
      <c r="AA76" s="52" t="str">
        <f>VLOOKUP(appointments7[[#This Row],[Patient_ID]],Billing!$A:$G,7,FALSE)</f>
        <v>Pending</v>
      </c>
      <c r="AB76" s="2"/>
      <c r="AC76" s="2"/>
    </row>
    <row r="77" spans="1:29" x14ac:dyDescent="0.4">
      <c r="A77" s="51" t="s">
        <v>138</v>
      </c>
      <c r="B77" s="51" t="s">
        <v>139</v>
      </c>
      <c r="C77" s="51" t="s">
        <v>900</v>
      </c>
      <c r="D77" s="51" t="str">
        <f>VLOOKUP(appointments7[[#This Row],[Patient_ID]],Patients!$A:$K,4,FALSE)</f>
        <v>F</v>
      </c>
      <c r="E77" s="52">
        <f>VLOOKUP(appointments7[[#This Row],[Patient_ID]],Patients!$A:$K,5,FALSE)</f>
        <v>27830</v>
      </c>
      <c r="F77" s="51">
        <f>VLOOKUP(appointments7[[#This Row],[Patient_ID]],Patients!$A:$K,6,FALSE)</f>
        <v>9449458981</v>
      </c>
      <c r="G77" s="51" t="str">
        <f>VLOOKUP(appointments7[[#This Row],[Patient_ID]],Patients!$A:$K,7,FALSE)</f>
        <v>321 Maple Dr</v>
      </c>
      <c r="H77" s="52">
        <f>VLOOKUP(appointments7[[#This Row],[Patient_ID]],Patients!$A:$K,8,FALSE)</f>
        <v>44952</v>
      </c>
      <c r="I77" s="51" t="str">
        <f>VLOOKUP(appointments7[[#This Row],[Patient_ID]],Patients!$A:$K,11,FALSE)</f>
        <v>robert.taylor@mail.com</v>
      </c>
      <c r="J77" s="51" t="s">
        <v>48</v>
      </c>
      <c r="K77" s="51" t="s">
        <v>913</v>
      </c>
      <c r="L77" s="51" t="str">
        <f>VLOOKUP(appointments7[[#This Row],[Doctor_ID]],Doctors!$A:$H,4,FALSE)</f>
        <v>Pediatrics</v>
      </c>
      <c r="M77" s="51">
        <f>VLOOKUP(appointments7[[#This Row],[Doctor_ID]],Doctors!$A:$H,5,FALSE)</f>
        <v>9004382050</v>
      </c>
      <c r="N77" s="51" t="str">
        <f>VLOOKUP(appointments7[[#This Row],[Doctor_ID]],Doctors!$A:$H,7,FALSE)</f>
        <v>Eastside Clinic</v>
      </c>
      <c r="O77" s="52">
        <v>45257</v>
      </c>
      <c r="P77" s="53">
        <v>0.5</v>
      </c>
      <c r="Q77" s="51" t="s">
        <v>10</v>
      </c>
      <c r="R77" s="51" t="s">
        <v>19</v>
      </c>
      <c r="S77" s="51" t="str">
        <f>VLOOKUP(appointments7[[#This Row],[Appointment_ID]],Treatments!$A:$F,2,FALSE)</f>
        <v>T076</v>
      </c>
      <c r="T77" s="51" t="str">
        <f>VLOOKUP(appointments7[[#This Row],[Appointment_ID]],Treatments!$A:$F,3,FALSE)</f>
        <v>Chemotherapy</v>
      </c>
      <c r="U77" s="54">
        <f>VLOOKUP(treatments[[#This Row],[appointment_id]],Treatments!$A:$F,5,FALSE)</f>
        <v>4945.03</v>
      </c>
      <c r="V77" s="52">
        <f>VLOOKUP(appointments7[[#This Row],[Appointment_ID]],Treatments!$A:$F,6,FALSE)</f>
        <v>45257</v>
      </c>
      <c r="W77" s="52" t="str">
        <f>VLOOKUP(appointments7[[#This Row],[Patient_ID]],Billing!$A:$G,2,FALSE)</f>
        <v>B076</v>
      </c>
      <c r="X77" s="52">
        <f>VLOOKUP(appointments7[[#This Row],[Patient_ID]],Billing!$A:$H,4,FALSE)</f>
        <v>45257</v>
      </c>
      <c r="Y77" s="54">
        <f>VLOOKUP(appointments7[[#This Row],[Patient_ID]],Billing!$A:$G,5,FALSE)</f>
        <v>4945.03</v>
      </c>
      <c r="Z77" s="54" t="str">
        <f>VLOOKUP(appointments7[[#This Row],[Patient_ID]],Billing!$A:$G,6,FALSE)</f>
        <v>Credit Card</v>
      </c>
      <c r="AA77" s="52" t="str">
        <f>VLOOKUP(appointments7[[#This Row],[Patient_ID]],Billing!$A:$G,7,FALSE)</f>
        <v>Pending</v>
      </c>
      <c r="AB77" s="2"/>
      <c r="AC77" s="2"/>
    </row>
    <row r="78" spans="1:29" x14ac:dyDescent="0.4">
      <c r="A78" s="51" t="s">
        <v>140</v>
      </c>
      <c r="B78" s="51" t="s">
        <v>45</v>
      </c>
      <c r="C78" s="51" t="s">
        <v>881</v>
      </c>
      <c r="D78" s="51" t="str">
        <f>VLOOKUP(appointments7[[#This Row],[Patient_ID]],Patients!$A:$K,4,FALSE)</f>
        <v>M</v>
      </c>
      <c r="E78" s="52">
        <f>VLOOKUP(appointments7[[#This Row],[Patient_ID]],Patients!$A:$K,5,FALSE)</f>
        <v>38487</v>
      </c>
      <c r="F78" s="51">
        <f>VLOOKUP(appointments7[[#This Row],[Patient_ID]],Patients!$A:$K,6,FALSE)</f>
        <v>8923607677</v>
      </c>
      <c r="G78" s="51" t="str">
        <f>VLOOKUP(appointments7[[#This Row],[Patient_ID]],Patients!$A:$K,7,FALSE)</f>
        <v>789 Pine Rd</v>
      </c>
      <c r="H78" s="52">
        <f>VLOOKUP(appointments7[[#This Row],[Patient_ID]],Patients!$A:$K,8,FALSE)</f>
        <v>45035</v>
      </c>
      <c r="I78" s="51" t="str">
        <f>VLOOKUP(appointments7[[#This Row],[Patient_ID]],Patients!$A:$K,11,FALSE)</f>
        <v>david.smith@mail.com</v>
      </c>
      <c r="J78" s="51" t="s">
        <v>35</v>
      </c>
      <c r="K78" s="51" t="s">
        <v>912</v>
      </c>
      <c r="L78" s="51" t="str">
        <f>VLOOKUP(appointments7[[#This Row],[Doctor_ID]],Doctors!$A:$H,4,FALSE)</f>
        <v>Oncology</v>
      </c>
      <c r="M78" s="51">
        <f>VLOOKUP(appointments7[[#This Row],[Doctor_ID]],Doctors!$A:$H,5,FALSE)</f>
        <v>6176383634</v>
      </c>
      <c r="N78" s="51" t="str">
        <f>VLOOKUP(appointments7[[#This Row],[Doctor_ID]],Doctors!$A:$H,7,FALSE)</f>
        <v>Eastside Clinic</v>
      </c>
      <c r="O78" s="52">
        <v>45274</v>
      </c>
      <c r="P78" s="53">
        <v>0.71875</v>
      </c>
      <c r="Q78" s="51" t="s">
        <v>29</v>
      </c>
      <c r="R78" s="51" t="s">
        <v>41</v>
      </c>
      <c r="S78" s="51" t="str">
        <f>VLOOKUP(appointments7[[#This Row],[Appointment_ID]],Treatments!$A:$F,2,FALSE)</f>
        <v>T077</v>
      </c>
      <c r="T78" s="51" t="str">
        <f>VLOOKUP(appointments7[[#This Row],[Appointment_ID]],Treatments!$A:$F,3,FALSE)</f>
        <v>ECG</v>
      </c>
      <c r="U78" s="54">
        <f>VLOOKUP(treatments[[#This Row],[appointment_id]],Treatments!$A:$F,5,FALSE)</f>
        <v>1113.98</v>
      </c>
      <c r="V78" s="52">
        <f>VLOOKUP(appointments7[[#This Row],[Appointment_ID]],Treatments!$A:$F,6,FALSE)</f>
        <v>45274</v>
      </c>
      <c r="W78" s="52" t="str">
        <f>VLOOKUP(appointments7[[#This Row],[Patient_ID]],Billing!$A:$G,2,FALSE)</f>
        <v>B012</v>
      </c>
      <c r="X78" s="52">
        <f>VLOOKUP(appointments7[[#This Row],[Patient_ID]],Billing!$A:$H,4,FALSE)</f>
        <v>45053</v>
      </c>
      <c r="Y78" s="54">
        <f>VLOOKUP(appointments7[[#This Row],[Patient_ID]],Billing!$A:$G,5,FALSE)</f>
        <v>771.2</v>
      </c>
      <c r="Z78" s="54" t="str">
        <f>VLOOKUP(appointments7[[#This Row],[Patient_ID]],Billing!$A:$G,6,FALSE)</f>
        <v>Insurance</v>
      </c>
      <c r="AA78" s="52" t="str">
        <f>VLOOKUP(appointments7[[#This Row],[Patient_ID]],Billing!$A:$G,7,FALSE)</f>
        <v>Pending</v>
      </c>
      <c r="AB78" s="2"/>
      <c r="AC78" s="2"/>
    </row>
    <row r="79" spans="1:29" x14ac:dyDescent="0.4">
      <c r="A79" s="51" t="s">
        <v>141</v>
      </c>
      <c r="B79" s="51" t="s">
        <v>142</v>
      </c>
      <c r="C79" s="51" t="s">
        <v>901</v>
      </c>
      <c r="D79" s="51" t="str">
        <f>VLOOKUP(appointments7[[#This Row],[Patient_ID]],Patients!$A:$K,4,FALSE)</f>
        <v>F</v>
      </c>
      <c r="E79" s="52">
        <f>VLOOKUP(appointments7[[#This Row],[Patient_ID]],Patients!$A:$K,5,FALSE)</f>
        <v>32960</v>
      </c>
      <c r="F79" s="51">
        <f>VLOOKUP(appointments7[[#This Row],[Patient_ID]],Patients!$A:$K,6,FALSE)</f>
        <v>9059178882</v>
      </c>
      <c r="G79" s="51" t="str">
        <f>VLOOKUP(appointments7[[#This Row],[Patient_ID]],Patients!$A:$K,7,FALSE)</f>
        <v>321 Maple Dr</v>
      </c>
      <c r="H79" s="52">
        <f>VLOOKUP(appointments7[[#This Row],[Patient_ID]],Patients!$A:$K,8,FALSE)</f>
        <v>44553</v>
      </c>
      <c r="I79" s="51" t="str">
        <f>VLOOKUP(appointments7[[#This Row],[Patient_ID]],Patients!$A:$K,11,FALSE)</f>
        <v>laura.johnson@mail.com</v>
      </c>
      <c r="J79" s="51" t="s">
        <v>54</v>
      </c>
      <c r="K79" s="51" t="s">
        <v>899</v>
      </c>
      <c r="L79" s="51" t="str">
        <f>VLOOKUP(appointments7[[#This Row],[Doctor_ID]],Doctors!$A:$H,4,FALSE)</f>
        <v>Dermatology</v>
      </c>
      <c r="M79" s="51">
        <f>VLOOKUP(appointments7[[#This Row],[Doctor_ID]],Doctors!$A:$H,5,FALSE)</f>
        <v>9069162601</v>
      </c>
      <c r="N79" s="51" t="str">
        <f>VLOOKUP(appointments7[[#This Row],[Doctor_ID]],Doctors!$A:$H,7,FALSE)</f>
        <v>Westside Clinic</v>
      </c>
      <c r="O79" s="52">
        <v>45186</v>
      </c>
      <c r="P79" s="53">
        <v>0.46875</v>
      </c>
      <c r="Q79" s="51" t="s">
        <v>18</v>
      </c>
      <c r="R79" s="51" t="s">
        <v>15</v>
      </c>
      <c r="S79" s="51" t="str">
        <f>VLOOKUP(appointments7[[#This Row],[Appointment_ID]],Treatments!$A:$F,2,FALSE)</f>
        <v>T078</v>
      </c>
      <c r="T79" s="51" t="str">
        <f>VLOOKUP(appointments7[[#This Row],[Appointment_ID]],Treatments!$A:$F,3,FALSE)</f>
        <v>X-Ray</v>
      </c>
      <c r="U79" s="54">
        <f>VLOOKUP(treatments[[#This Row],[appointment_id]],Treatments!$A:$F,5,FALSE)</f>
        <v>3628.15</v>
      </c>
      <c r="V79" s="52">
        <f>VLOOKUP(appointments7[[#This Row],[Appointment_ID]],Treatments!$A:$F,6,FALSE)</f>
        <v>45186</v>
      </c>
      <c r="W79" s="52" t="str">
        <f>VLOOKUP(appointments7[[#This Row],[Patient_ID]],Billing!$A:$G,2,FALSE)</f>
        <v>B078</v>
      </c>
      <c r="X79" s="52">
        <f>VLOOKUP(appointments7[[#This Row],[Patient_ID]],Billing!$A:$H,4,FALSE)</f>
        <v>45186</v>
      </c>
      <c r="Y79" s="54">
        <f>VLOOKUP(appointments7[[#This Row],[Patient_ID]],Billing!$A:$G,5,FALSE)</f>
        <v>3628.15</v>
      </c>
      <c r="Z79" s="54" t="str">
        <f>VLOOKUP(appointments7[[#This Row],[Patient_ID]],Billing!$A:$G,6,FALSE)</f>
        <v>Credit Card</v>
      </c>
      <c r="AA79" s="52" t="str">
        <f>VLOOKUP(appointments7[[#This Row],[Patient_ID]],Billing!$A:$G,7,FALSE)</f>
        <v>Paid</v>
      </c>
      <c r="AB79" s="2"/>
      <c r="AC79" s="2"/>
    </row>
    <row r="80" spans="1:29" x14ac:dyDescent="0.4">
      <c r="A80" s="51" t="s">
        <v>143</v>
      </c>
      <c r="B80" s="51" t="s">
        <v>50</v>
      </c>
      <c r="C80" s="51" t="s">
        <v>883</v>
      </c>
      <c r="D80" s="51" t="str">
        <f>VLOOKUP(appointments7[[#This Row],[Patient_ID]],Patients!$A:$K,4,FALSE)</f>
        <v>F</v>
      </c>
      <c r="E80" s="52">
        <f>VLOOKUP(appointments7[[#This Row],[Patient_ID]],Patients!$A:$K,5,FALSE)</f>
        <v>33580</v>
      </c>
      <c r="F80" s="51">
        <f>VLOOKUP(appointments7[[#This Row],[Patient_ID]],Patients!$A:$K,6,FALSE)</f>
        <v>8135666049</v>
      </c>
      <c r="G80" s="51" t="str">
        <f>VLOOKUP(appointments7[[#This Row],[Patient_ID]],Patients!$A:$K,7,FALSE)</f>
        <v>321 Maple Dr</v>
      </c>
      <c r="H80" s="52">
        <f>VLOOKUP(appointments7[[#This Row],[Patient_ID]],Patients!$A:$K,8,FALSE)</f>
        <v>45043</v>
      </c>
      <c r="I80" s="51" t="str">
        <f>VLOOKUP(appointments7[[#This Row],[Patient_ID]],Patients!$A:$K,11,FALSE)</f>
        <v>laura.davis@mail.com</v>
      </c>
      <c r="J80" s="51" t="s">
        <v>48</v>
      </c>
      <c r="K80" s="51" t="s">
        <v>913</v>
      </c>
      <c r="L80" s="51" t="str">
        <f>VLOOKUP(appointments7[[#This Row],[Doctor_ID]],Doctors!$A:$H,4,FALSE)</f>
        <v>Pediatrics</v>
      </c>
      <c r="M80" s="51">
        <f>VLOOKUP(appointments7[[#This Row],[Doctor_ID]],Doctors!$A:$H,5,FALSE)</f>
        <v>9004382050</v>
      </c>
      <c r="N80" s="51" t="str">
        <f>VLOOKUP(appointments7[[#This Row],[Doctor_ID]],Doctors!$A:$H,7,FALSE)</f>
        <v>Eastside Clinic</v>
      </c>
      <c r="O80" s="52">
        <v>45286</v>
      </c>
      <c r="P80" s="53">
        <v>0.58333333333333326</v>
      </c>
      <c r="Q80" s="51" t="s">
        <v>38</v>
      </c>
      <c r="R80" s="51" t="s">
        <v>19</v>
      </c>
      <c r="S80" s="51" t="str">
        <f>VLOOKUP(appointments7[[#This Row],[Appointment_ID]],Treatments!$A:$F,2,FALSE)</f>
        <v>T079</v>
      </c>
      <c r="T80" s="51" t="str">
        <f>VLOOKUP(appointments7[[#This Row],[Appointment_ID]],Treatments!$A:$F,3,FALSE)</f>
        <v>X-Ray</v>
      </c>
      <c r="U80" s="54">
        <f>VLOOKUP(treatments[[#This Row],[appointment_id]],Treatments!$A:$F,5,FALSE)</f>
        <v>2319.4299999999998</v>
      </c>
      <c r="V80" s="52">
        <f>VLOOKUP(appointments7[[#This Row],[Appointment_ID]],Treatments!$A:$F,6,FALSE)</f>
        <v>45286</v>
      </c>
      <c r="W80" s="52" t="str">
        <f>VLOOKUP(appointments7[[#This Row],[Patient_ID]],Billing!$A:$G,2,FALSE)</f>
        <v>B014</v>
      </c>
      <c r="X80" s="52">
        <f>VLOOKUP(appointments7[[#This Row],[Patient_ID]],Billing!$A:$H,4,FALSE)</f>
        <v>45071</v>
      </c>
      <c r="Y80" s="54">
        <f>VLOOKUP(appointments7[[#This Row],[Patient_ID]],Billing!$A:$G,5,FALSE)</f>
        <v>2082.3000000000002</v>
      </c>
      <c r="Z80" s="54" t="str">
        <f>VLOOKUP(appointments7[[#This Row],[Patient_ID]],Billing!$A:$G,6,FALSE)</f>
        <v>Credit Card</v>
      </c>
      <c r="AA80" s="52" t="str">
        <f>VLOOKUP(appointments7[[#This Row],[Patient_ID]],Billing!$A:$G,7,FALSE)</f>
        <v>Paid</v>
      </c>
      <c r="AB80" s="2"/>
      <c r="AC80" s="2"/>
    </row>
    <row r="81" spans="1:29" x14ac:dyDescent="0.4">
      <c r="A81" s="51" t="s">
        <v>144</v>
      </c>
      <c r="B81" s="51" t="s">
        <v>97</v>
      </c>
      <c r="C81" s="51" t="s">
        <v>892</v>
      </c>
      <c r="D81" s="51" t="str">
        <f>VLOOKUP(appointments7[[#This Row],[Patient_ID]],Patients!$A:$K,4,FALSE)</f>
        <v>M</v>
      </c>
      <c r="E81" s="52">
        <f>VLOOKUP(appointments7[[#This Row],[Patient_ID]],Patients!$A:$K,5,FALSE)</f>
        <v>31791</v>
      </c>
      <c r="F81" s="51">
        <f>VLOOKUP(appointments7[[#This Row],[Patient_ID]],Patients!$A:$K,6,FALSE)</f>
        <v>8280346676</v>
      </c>
      <c r="G81" s="51" t="str">
        <f>VLOOKUP(appointments7[[#This Row],[Patient_ID]],Patients!$A:$K,7,FALSE)</f>
        <v>321 Maple Dr</v>
      </c>
      <c r="H81" s="52">
        <f>VLOOKUP(appointments7[[#This Row],[Patient_ID]],Patients!$A:$K,8,FALSE)</f>
        <v>44740</v>
      </c>
      <c r="I81" s="51" t="str">
        <f>VLOOKUP(appointments7[[#This Row],[Patient_ID]],Patients!$A:$K,11,FALSE)</f>
        <v>robert.miller@mail.com</v>
      </c>
      <c r="J81" s="51" t="s">
        <v>74</v>
      </c>
      <c r="K81" s="51" t="s">
        <v>915</v>
      </c>
      <c r="L81" s="51" t="str">
        <f>VLOOKUP(appointments7[[#This Row],[Doctor_ID]],Doctors!$A:$H,4,FALSE)</f>
        <v>Dermatology</v>
      </c>
      <c r="M81" s="51">
        <f>VLOOKUP(appointments7[[#This Row],[Doctor_ID]],Doctors!$A:$H,5,FALSE)</f>
        <v>9118538547</v>
      </c>
      <c r="N81" s="51" t="str">
        <f>VLOOKUP(appointments7[[#This Row],[Doctor_ID]],Doctors!$A:$H,7,FALSE)</f>
        <v>Central Hospital</v>
      </c>
      <c r="O81" s="52">
        <v>45103</v>
      </c>
      <c r="P81" s="53">
        <v>0.35416666666666674</v>
      </c>
      <c r="Q81" s="51" t="s">
        <v>18</v>
      </c>
      <c r="R81" s="51" t="s">
        <v>11</v>
      </c>
      <c r="S81" s="51" t="str">
        <f>VLOOKUP(appointments7[[#This Row],[Appointment_ID]],Treatments!$A:$F,2,FALSE)</f>
        <v>T080</v>
      </c>
      <c r="T81" s="51" t="str">
        <f>VLOOKUP(appointments7[[#This Row],[Appointment_ID]],Treatments!$A:$F,3,FALSE)</f>
        <v>Chemotherapy</v>
      </c>
      <c r="U81" s="54">
        <f>VLOOKUP(treatments[[#This Row],[appointment_id]],Treatments!$A:$F,5,FALSE)</f>
        <v>2426.9</v>
      </c>
      <c r="V81" s="52">
        <f>VLOOKUP(appointments7[[#This Row],[Appointment_ID]],Treatments!$A:$F,6,FALSE)</f>
        <v>45103</v>
      </c>
      <c r="W81" s="52" t="str">
        <f>VLOOKUP(appointments7[[#This Row],[Patient_ID]],Billing!$A:$G,2,FALSE)</f>
        <v>B044</v>
      </c>
      <c r="X81" s="52">
        <f>VLOOKUP(appointments7[[#This Row],[Patient_ID]],Billing!$A:$H,4,FALSE)</f>
        <v>45189</v>
      </c>
      <c r="Y81" s="54">
        <f>VLOOKUP(appointments7[[#This Row],[Patient_ID]],Billing!$A:$G,5,FALSE)</f>
        <v>4186.3500000000004</v>
      </c>
      <c r="Z81" s="54" t="str">
        <f>VLOOKUP(appointments7[[#This Row],[Patient_ID]],Billing!$A:$G,6,FALSE)</f>
        <v>Insurance</v>
      </c>
      <c r="AA81" s="52" t="str">
        <f>VLOOKUP(appointments7[[#This Row],[Patient_ID]],Billing!$A:$G,7,FALSE)</f>
        <v>Paid</v>
      </c>
      <c r="AB81" s="2"/>
      <c r="AC81" s="2"/>
    </row>
    <row r="82" spans="1:29" x14ac:dyDescent="0.4">
      <c r="A82" s="51" t="s">
        <v>145</v>
      </c>
      <c r="B82" s="51" t="s">
        <v>72</v>
      </c>
      <c r="C82" s="51" t="s">
        <v>877</v>
      </c>
      <c r="D82" s="51" t="str">
        <f>VLOOKUP(appointments7[[#This Row],[Patient_ID]],Patients!$A:$K,4,FALSE)</f>
        <v>F</v>
      </c>
      <c r="E82" s="52">
        <f>VLOOKUP(appointments7[[#This Row],[Patient_ID]],Patients!$A:$K,5,FALSE)</f>
        <v>31656</v>
      </c>
      <c r="F82" s="51">
        <f>VLOOKUP(appointments7[[#This Row],[Patient_ID]],Patients!$A:$K,6,FALSE)</f>
        <v>8019925828</v>
      </c>
      <c r="G82" s="51" t="str">
        <f>VLOOKUP(appointments7[[#This Row],[Patient_ID]],Patients!$A:$K,7,FALSE)</f>
        <v>456 Oak Ave</v>
      </c>
      <c r="H82" s="52">
        <f>VLOOKUP(appointments7[[#This Row],[Patient_ID]],Patients!$A:$K,8,FALSE)</f>
        <v>44408</v>
      </c>
      <c r="I82" s="51" t="str">
        <f>VLOOKUP(appointments7[[#This Row],[Patient_ID]],Patients!$A:$K,11,FALSE)</f>
        <v>michael.taylor@mail.com</v>
      </c>
      <c r="J82" s="51" t="s">
        <v>32</v>
      </c>
      <c r="K82" s="51" t="s">
        <v>911</v>
      </c>
      <c r="L82" s="51" t="str">
        <f>VLOOKUP(appointments7[[#This Row],[Doctor_ID]],Doctors!$A:$H,4,FALSE)</f>
        <v>Oncology</v>
      </c>
      <c r="M82" s="51">
        <f>VLOOKUP(appointments7[[#This Row],[Doctor_ID]],Doctors!$A:$H,5,FALSE)</f>
        <v>8217493115</v>
      </c>
      <c r="N82" s="51" t="str">
        <f>VLOOKUP(appointments7[[#This Row],[Doctor_ID]],Doctors!$A:$H,7,FALSE)</f>
        <v>Westside Clinic</v>
      </c>
      <c r="O82" s="52">
        <v>44932</v>
      </c>
      <c r="P82" s="53">
        <v>0.5625</v>
      </c>
      <c r="Q82" s="51" t="s">
        <v>10</v>
      </c>
      <c r="R82" s="51" t="s">
        <v>19</v>
      </c>
      <c r="S82" s="51" t="str">
        <f>VLOOKUP(appointments7[[#This Row],[Appointment_ID]],Treatments!$A:$F,2,FALSE)</f>
        <v>T081</v>
      </c>
      <c r="T82" s="51" t="str">
        <f>VLOOKUP(appointments7[[#This Row],[Appointment_ID]],Treatments!$A:$F,3,FALSE)</f>
        <v>ECG</v>
      </c>
      <c r="U82" s="54">
        <f>VLOOKUP(treatments[[#This Row],[appointment_id]],Treatments!$A:$F,5,FALSE)</f>
        <v>3729.19</v>
      </c>
      <c r="V82" s="52">
        <f>VLOOKUP(appointments7[[#This Row],[Appointment_ID]],Treatments!$A:$F,6,FALSE)</f>
        <v>44932</v>
      </c>
      <c r="W82" s="52" t="str">
        <f>VLOOKUP(appointments7[[#This Row],[Patient_ID]],Billing!$A:$G,2,FALSE)</f>
        <v>B026</v>
      </c>
      <c r="X82" s="52">
        <f>VLOOKUP(appointments7[[#This Row],[Patient_ID]],Billing!$A:$H,4,FALSE)</f>
        <v>45002</v>
      </c>
      <c r="Y82" s="54">
        <f>VLOOKUP(appointments7[[#This Row],[Patient_ID]],Billing!$A:$G,5,FALSE)</f>
        <v>2360.9699999999998</v>
      </c>
      <c r="Z82" s="54" t="str">
        <f>VLOOKUP(appointments7[[#This Row],[Patient_ID]],Billing!$A:$G,6,FALSE)</f>
        <v>Insurance</v>
      </c>
      <c r="AA82" s="52" t="str">
        <f>VLOOKUP(appointments7[[#This Row],[Patient_ID]],Billing!$A:$G,7,FALSE)</f>
        <v>Paid</v>
      </c>
      <c r="AB82" s="2"/>
      <c r="AC82" s="2"/>
    </row>
    <row r="83" spans="1:29" x14ac:dyDescent="0.4">
      <c r="A83" s="51" t="s">
        <v>146</v>
      </c>
      <c r="B83" s="51" t="s">
        <v>112</v>
      </c>
      <c r="C83" s="51" t="s">
        <v>896</v>
      </c>
      <c r="D83" s="51" t="str">
        <f>VLOOKUP(appointments7[[#This Row],[Patient_ID]],Patients!$A:$K,4,FALSE)</f>
        <v>F</v>
      </c>
      <c r="E83" s="52">
        <f>VLOOKUP(appointments7[[#This Row],[Patient_ID]],Patients!$A:$K,5,FALSE)</f>
        <v>30967</v>
      </c>
      <c r="F83" s="51">
        <f>VLOOKUP(appointments7[[#This Row],[Patient_ID]],Patients!$A:$K,6,FALSE)</f>
        <v>8228188767</v>
      </c>
      <c r="G83" s="51" t="str">
        <f>VLOOKUP(appointments7[[#This Row],[Patient_ID]],Patients!$A:$K,7,FALSE)</f>
        <v>321 Maple Dr</v>
      </c>
      <c r="H83" s="52">
        <f>VLOOKUP(appointments7[[#This Row],[Patient_ID]],Patients!$A:$K,8,FALSE)</f>
        <v>44576</v>
      </c>
      <c r="I83" s="51" t="str">
        <f>VLOOKUP(appointments7[[#This Row],[Patient_ID]],Patients!$A:$K,11,FALSE)</f>
        <v>emily.smith@mail.com</v>
      </c>
      <c r="J83" s="51" t="s">
        <v>54</v>
      </c>
      <c r="K83" s="51" t="s">
        <v>899</v>
      </c>
      <c r="L83" s="51" t="str">
        <f>VLOOKUP(appointments7[[#This Row],[Doctor_ID]],Doctors!$A:$H,4,FALSE)</f>
        <v>Dermatology</v>
      </c>
      <c r="M83" s="51">
        <f>VLOOKUP(appointments7[[#This Row],[Doctor_ID]],Doctors!$A:$H,5,FALSE)</f>
        <v>9069162601</v>
      </c>
      <c r="N83" s="51" t="str">
        <f>VLOOKUP(appointments7[[#This Row],[Doctor_ID]],Doctors!$A:$H,7,FALSE)</f>
        <v>Westside Clinic</v>
      </c>
      <c r="O83" s="52">
        <v>44946</v>
      </c>
      <c r="P83" s="53">
        <v>0.44791666666666674</v>
      </c>
      <c r="Q83" s="51" t="s">
        <v>38</v>
      </c>
      <c r="R83" s="51" t="s">
        <v>11</v>
      </c>
      <c r="S83" s="51" t="str">
        <f>VLOOKUP(appointments7[[#This Row],[Appointment_ID]],Treatments!$A:$F,2,FALSE)</f>
        <v>T082</v>
      </c>
      <c r="T83" s="51" t="str">
        <f>VLOOKUP(appointments7[[#This Row],[Appointment_ID]],Treatments!$A:$F,3,FALSE)</f>
        <v>X-Ray</v>
      </c>
      <c r="U83" s="54">
        <f>VLOOKUP(treatments[[#This Row],[appointment_id]],Treatments!$A:$F,5,FALSE)</f>
        <v>3615.96</v>
      </c>
      <c r="V83" s="52">
        <f>VLOOKUP(appointments7[[#This Row],[Appointment_ID]],Treatments!$A:$F,6,FALSE)</f>
        <v>44946</v>
      </c>
      <c r="W83" s="52" t="str">
        <f>VLOOKUP(appointments7[[#This Row],[Patient_ID]],Billing!$A:$G,2,FALSE)</f>
        <v>B055</v>
      </c>
      <c r="X83" s="52">
        <f>VLOOKUP(appointments7[[#This Row],[Patient_ID]],Billing!$A:$H,4,FALSE)</f>
        <v>45205</v>
      </c>
      <c r="Y83" s="54">
        <f>VLOOKUP(appointments7[[#This Row],[Patient_ID]],Billing!$A:$G,5,FALSE)</f>
        <v>1736.63</v>
      </c>
      <c r="Z83" s="54" t="str">
        <f>VLOOKUP(appointments7[[#This Row],[Patient_ID]],Billing!$A:$G,6,FALSE)</f>
        <v>Cash</v>
      </c>
      <c r="AA83" s="52" t="str">
        <f>VLOOKUP(appointments7[[#This Row],[Patient_ID]],Billing!$A:$G,7,FALSE)</f>
        <v>Failed</v>
      </c>
      <c r="AB83" s="2"/>
      <c r="AC83" s="2"/>
    </row>
    <row r="84" spans="1:29" x14ac:dyDescent="0.4">
      <c r="A84" s="51" t="s">
        <v>147</v>
      </c>
      <c r="B84" s="51" t="s">
        <v>123</v>
      </c>
      <c r="C84" s="51" t="s">
        <v>898</v>
      </c>
      <c r="D84" s="51" t="str">
        <f>VLOOKUP(appointments7[[#This Row],[Patient_ID]],Patients!$A:$K,4,FALSE)</f>
        <v>M</v>
      </c>
      <c r="E84" s="52">
        <f>VLOOKUP(appointments7[[#This Row],[Patient_ID]],Patients!$A:$K,5,FALSE)</f>
        <v>34330</v>
      </c>
      <c r="F84" s="51">
        <f>VLOOKUP(appointments7[[#This Row],[Patient_ID]],Patients!$A:$K,6,FALSE)</f>
        <v>8301134730</v>
      </c>
      <c r="G84" s="51" t="str">
        <f>VLOOKUP(appointments7[[#This Row],[Patient_ID]],Patients!$A:$K,7,FALSE)</f>
        <v>321 Maple Dr</v>
      </c>
      <c r="H84" s="52">
        <f>VLOOKUP(appointments7[[#This Row],[Patient_ID]],Patients!$A:$K,8,FALSE)</f>
        <v>45044</v>
      </c>
      <c r="I84" s="51" t="str">
        <f>VLOOKUP(appointments7[[#This Row],[Patient_ID]],Patients!$A:$K,11,FALSE)</f>
        <v>laura.wilson@mail.com</v>
      </c>
      <c r="J84" s="51" t="s">
        <v>59</v>
      </c>
      <c r="K84" s="51" t="s">
        <v>914</v>
      </c>
      <c r="L84" s="51" t="str">
        <f>VLOOKUP(appointments7[[#This Row],[Doctor_ID]],Doctors!$A:$H,4,FALSE)</f>
        <v>Dermatology</v>
      </c>
      <c r="M84" s="51">
        <f>VLOOKUP(appointments7[[#This Row],[Doctor_ID]],Doctors!$A:$H,5,FALSE)</f>
        <v>8322010158</v>
      </c>
      <c r="N84" s="51" t="str">
        <f>VLOOKUP(appointments7[[#This Row],[Doctor_ID]],Doctors!$A:$H,7,FALSE)</f>
        <v>Westside Clinic</v>
      </c>
      <c r="O84" s="52">
        <v>45237</v>
      </c>
      <c r="P84" s="53">
        <v>0.52083333333333326</v>
      </c>
      <c r="Q84" s="51" t="s">
        <v>26</v>
      </c>
      <c r="R84" s="51" t="s">
        <v>41</v>
      </c>
      <c r="S84" s="51" t="str">
        <f>VLOOKUP(appointments7[[#This Row],[Appointment_ID]],Treatments!$A:$F,2,FALSE)</f>
        <v>T083</v>
      </c>
      <c r="T84" s="51" t="str">
        <f>VLOOKUP(appointments7[[#This Row],[Appointment_ID]],Treatments!$A:$F,3,FALSE)</f>
        <v>ECG</v>
      </c>
      <c r="U84" s="54">
        <f>VLOOKUP(treatments[[#This Row],[appointment_id]],Treatments!$A:$F,5,FALSE)</f>
        <v>4960.6499999999996</v>
      </c>
      <c r="V84" s="52">
        <f>VLOOKUP(appointments7[[#This Row],[Appointment_ID]],Treatments!$A:$F,6,FALSE)</f>
        <v>45237</v>
      </c>
      <c r="W84" s="52" t="str">
        <f>VLOOKUP(appointments7[[#This Row],[Patient_ID]],Billing!$A:$G,2,FALSE)</f>
        <v>B063</v>
      </c>
      <c r="X84" s="52">
        <f>VLOOKUP(appointments7[[#This Row],[Patient_ID]],Billing!$A:$H,4,FALSE)</f>
        <v>45106</v>
      </c>
      <c r="Y84" s="54">
        <f>VLOOKUP(appointments7[[#This Row],[Patient_ID]],Billing!$A:$G,5,FALSE)</f>
        <v>1256.06</v>
      </c>
      <c r="Z84" s="54" t="str">
        <f>VLOOKUP(appointments7[[#This Row],[Patient_ID]],Billing!$A:$G,6,FALSE)</f>
        <v>Insurance</v>
      </c>
      <c r="AA84" s="52" t="str">
        <f>VLOOKUP(appointments7[[#This Row],[Patient_ID]],Billing!$A:$G,7,FALSE)</f>
        <v>Failed</v>
      </c>
      <c r="AB84" s="2"/>
      <c r="AC84" s="2"/>
    </row>
    <row r="85" spans="1:29" x14ac:dyDescent="0.4">
      <c r="A85" s="51" t="s">
        <v>148</v>
      </c>
      <c r="B85" s="51" t="s">
        <v>125</v>
      </c>
      <c r="C85" s="51" t="s">
        <v>879</v>
      </c>
      <c r="D85" s="51" t="str">
        <f>VLOOKUP(appointments7[[#This Row],[Patient_ID]],Patients!$A:$K,4,FALSE)</f>
        <v>F</v>
      </c>
      <c r="E85" s="52">
        <f>VLOOKUP(appointments7[[#This Row],[Patient_ID]],Patients!$A:$K,5,FALSE)</f>
        <v>34072</v>
      </c>
      <c r="F85" s="51">
        <f>VLOOKUP(appointments7[[#This Row],[Patient_ID]],Patients!$A:$K,6,FALSE)</f>
        <v>7039619487</v>
      </c>
      <c r="G85" s="51" t="str">
        <f>VLOOKUP(appointments7[[#This Row],[Patient_ID]],Patients!$A:$K,7,FALSE)</f>
        <v>123 Elm St</v>
      </c>
      <c r="H85" s="52">
        <f>VLOOKUP(appointments7[[#This Row],[Patient_ID]],Patients!$A:$K,8,FALSE)</f>
        <v>45116</v>
      </c>
      <c r="I85" s="51" t="str">
        <f>VLOOKUP(appointments7[[#This Row],[Patient_ID]],Patients!$A:$K,11,FALSE)</f>
        <v>david.wilson@mail.com</v>
      </c>
      <c r="J85" s="51" t="s">
        <v>22</v>
      </c>
      <c r="K85" s="51" t="s">
        <v>910</v>
      </c>
      <c r="L85" s="51" t="str">
        <f>VLOOKUP(appointments7[[#This Row],[Doctor_ID]],Doctors!$A:$H,4,FALSE)</f>
        <v>Pediatrics</v>
      </c>
      <c r="M85" s="51">
        <f>VLOOKUP(appointments7[[#This Row],[Doctor_ID]],Doctors!$A:$H,5,FALSE)</f>
        <v>6570137231</v>
      </c>
      <c r="N85" s="51" t="str">
        <f>VLOOKUP(appointments7[[#This Row],[Doctor_ID]],Doctors!$A:$H,7,FALSE)</f>
        <v>Central Hospital</v>
      </c>
      <c r="O85" s="52">
        <v>45077</v>
      </c>
      <c r="P85" s="53">
        <v>0.66666666666666674</v>
      </c>
      <c r="Q85" s="51" t="s">
        <v>18</v>
      </c>
      <c r="R85" s="51" t="s">
        <v>11</v>
      </c>
      <c r="S85" s="51" t="str">
        <f>VLOOKUP(appointments7[[#This Row],[Appointment_ID]],Treatments!$A:$F,2,FALSE)</f>
        <v>T084</v>
      </c>
      <c r="T85" s="51" t="str">
        <f>VLOOKUP(appointments7[[#This Row],[Appointment_ID]],Treatments!$A:$F,3,FALSE)</f>
        <v>ECG</v>
      </c>
      <c r="U85" s="54">
        <f>VLOOKUP(treatments[[#This Row],[appointment_id]],Treatments!$A:$F,5,FALSE)</f>
        <v>1077.77</v>
      </c>
      <c r="V85" s="52">
        <f>VLOOKUP(appointments7[[#This Row],[Appointment_ID]],Treatments!$A:$F,6,FALSE)</f>
        <v>45077</v>
      </c>
      <c r="W85" s="52" t="str">
        <f>VLOOKUP(appointments7[[#This Row],[Patient_ID]],Billing!$A:$G,2,FALSE)</f>
        <v>B064</v>
      </c>
      <c r="X85" s="52">
        <f>VLOOKUP(appointments7[[#This Row],[Patient_ID]],Billing!$A:$H,4,FALSE)</f>
        <v>45077</v>
      </c>
      <c r="Y85" s="54">
        <f>VLOOKUP(appointments7[[#This Row],[Patient_ID]],Billing!$A:$G,5,FALSE)</f>
        <v>3815.93</v>
      </c>
      <c r="Z85" s="54" t="str">
        <f>VLOOKUP(appointments7[[#This Row],[Patient_ID]],Billing!$A:$G,6,FALSE)</f>
        <v>Cash</v>
      </c>
      <c r="AA85" s="52" t="str">
        <f>VLOOKUP(appointments7[[#This Row],[Patient_ID]],Billing!$A:$G,7,FALSE)</f>
        <v>Paid</v>
      </c>
      <c r="AB85" s="2"/>
      <c r="AC85" s="2"/>
    </row>
    <row r="86" spans="1:29" x14ac:dyDescent="0.4">
      <c r="A86" s="51" t="s">
        <v>149</v>
      </c>
      <c r="B86" s="51" t="s">
        <v>90</v>
      </c>
      <c r="C86" s="51" t="s">
        <v>891</v>
      </c>
      <c r="D86" s="51" t="str">
        <f>VLOOKUP(appointments7[[#This Row],[Patient_ID]],Patients!$A:$K,4,FALSE)</f>
        <v>M</v>
      </c>
      <c r="E86" s="52">
        <f>VLOOKUP(appointments7[[#This Row],[Patient_ID]],Patients!$A:$K,5,FALSE)</f>
        <v>34387</v>
      </c>
      <c r="F86" s="51">
        <f>VLOOKUP(appointments7[[#This Row],[Patient_ID]],Patients!$A:$K,6,FALSE)</f>
        <v>6141951830</v>
      </c>
      <c r="G86" s="51" t="str">
        <f>VLOOKUP(appointments7[[#This Row],[Patient_ID]],Patients!$A:$K,7,FALSE)</f>
        <v>789 Pine Rd</v>
      </c>
      <c r="H86" s="52">
        <f>VLOOKUP(appointments7[[#This Row],[Patient_ID]],Patients!$A:$K,8,FALSE)</f>
        <v>44557</v>
      </c>
      <c r="I86" s="51" t="str">
        <f>VLOOKUP(appointments7[[#This Row],[Patient_ID]],Patients!$A:$K,11,FALSE)</f>
        <v>linda.johnson@mail.com</v>
      </c>
      <c r="J86" s="51" t="s">
        <v>59</v>
      </c>
      <c r="K86" s="51" t="s">
        <v>914</v>
      </c>
      <c r="L86" s="51" t="str">
        <f>VLOOKUP(appointments7[[#This Row],[Doctor_ID]],Doctors!$A:$H,4,FALSE)</f>
        <v>Dermatology</v>
      </c>
      <c r="M86" s="51">
        <f>VLOOKUP(appointments7[[#This Row],[Doctor_ID]],Doctors!$A:$H,5,FALSE)</f>
        <v>8322010158</v>
      </c>
      <c r="N86" s="51" t="str">
        <f>VLOOKUP(appointments7[[#This Row],[Doctor_ID]],Doctors!$A:$H,7,FALSE)</f>
        <v>Westside Clinic</v>
      </c>
      <c r="O86" s="52">
        <v>44975</v>
      </c>
      <c r="P86" s="53">
        <v>0.67708333333333326</v>
      </c>
      <c r="Q86" s="51" t="s">
        <v>38</v>
      </c>
      <c r="R86" s="51" t="s">
        <v>19</v>
      </c>
      <c r="S86" s="51" t="str">
        <f>VLOOKUP(appointments7[[#This Row],[Appointment_ID]],Treatments!$A:$F,2,FALSE)</f>
        <v>T085</v>
      </c>
      <c r="T86" s="51" t="str">
        <f>VLOOKUP(appointments7[[#This Row],[Appointment_ID]],Treatments!$A:$F,3,FALSE)</f>
        <v>ECG</v>
      </c>
      <c r="U86" s="54">
        <f>VLOOKUP(treatments[[#This Row],[appointment_id]],Treatments!$A:$F,5,FALSE)</f>
        <v>968.49</v>
      </c>
      <c r="V86" s="52">
        <f>VLOOKUP(appointments7[[#This Row],[Appointment_ID]],Treatments!$A:$F,6,FALSE)</f>
        <v>44975</v>
      </c>
      <c r="W86" s="52" t="str">
        <f>VLOOKUP(appointments7[[#This Row],[Patient_ID]],Billing!$A:$G,2,FALSE)</f>
        <v>B039</v>
      </c>
      <c r="X86" s="52">
        <f>VLOOKUP(appointments7[[#This Row],[Patient_ID]],Billing!$A:$H,4,FALSE)</f>
        <v>45033</v>
      </c>
      <c r="Y86" s="54">
        <f>VLOOKUP(appointments7[[#This Row],[Patient_ID]],Billing!$A:$G,5,FALSE)</f>
        <v>2976.02</v>
      </c>
      <c r="Z86" s="54" t="str">
        <f>VLOOKUP(appointments7[[#This Row],[Patient_ID]],Billing!$A:$G,6,FALSE)</f>
        <v>Insurance</v>
      </c>
      <c r="AA86" s="52" t="str">
        <f>VLOOKUP(appointments7[[#This Row],[Patient_ID]],Billing!$A:$G,7,FALSE)</f>
        <v>Failed</v>
      </c>
      <c r="AB86" s="2"/>
      <c r="AC86" s="2"/>
    </row>
    <row r="87" spans="1:29" x14ac:dyDescent="0.4">
      <c r="A87" s="51" t="s">
        <v>150</v>
      </c>
      <c r="B87" s="51" t="s">
        <v>151</v>
      </c>
      <c r="C87" s="51" t="s">
        <v>902</v>
      </c>
      <c r="D87" s="51" t="str">
        <f>VLOOKUP(appointments7[[#This Row],[Patient_ID]],Patients!$A:$K,4,FALSE)</f>
        <v>M</v>
      </c>
      <c r="E87" s="52">
        <f>VLOOKUP(appointments7[[#This Row],[Patient_ID]],Patients!$A:$K,5,FALSE)</f>
        <v>33359</v>
      </c>
      <c r="F87" s="51">
        <f>VLOOKUP(appointments7[[#This Row],[Patient_ID]],Patients!$A:$K,6,FALSE)</f>
        <v>6158428240</v>
      </c>
      <c r="G87" s="51" t="str">
        <f>VLOOKUP(appointments7[[#This Row],[Patient_ID]],Patients!$A:$K,7,FALSE)</f>
        <v>456 Oak Ave</v>
      </c>
      <c r="H87" s="52">
        <f>VLOOKUP(appointments7[[#This Row],[Patient_ID]],Patients!$A:$K,8,FALSE)</f>
        <v>44830</v>
      </c>
      <c r="I87" s="51" t="str">
        <f>VLOOKUP(appointments7[[#This Row],[Patient_ID]],Patients!$A:$K,11,FALSE)</f>
        <v>jane.jones@mail.com</v>
      </c>
      <c r="J87" s="51" t="s">
        <v>48</v>
      </c>
      <c r="K87" s="51" t="s">
        <v>913</v>
      </c>
      <c r="L87" s="51" t="str">
        <f>VLOOKUP(appointments7[[#This Row],[Doctor_ID]],Doctors!$A:$H,4,FALSE)</f>
        <v>Pediatrics</v>
      </c>
      <c r="M87" s="51">
        <f>VLOOKUP(appointments7[[#This Row],[Doctor_ID]],Doctors!$A:$H,5,FALSE)</f>
        <v>9004382050</v>
      </c>
      <c r="N87" s="51" t="str">
        <f>VLOOKUP(appointments7[[#This Row],[Doctor_ID]],Doctors!$A:$H,7,FALSE)</f>
        <v>Eastside Clinic</v>
      </c>
      <c r="O87" s="52">
        <v>45228</v>
      </c>
      <c r="P87" s="53">
        <v>0.45833333333333326</v>
      </c>
      <c r="Q87" s="51" t="s">
        <v>18</v>
      </c>
      <c r="R87" s="51" t="s">
        <v>19</v>
      </c>
      <c r="S87" s="51" t="str">
        <f>VLOOKUP(appointments7[[#This Row],[Appointment_ID]],Treatments!$A:$F,2,FALSE)</f>
        <v>T086</v>
      </c>
      <c r="T87" s="51" t="str">
        <f>VLOOKUP(appointments7[[#This Row],[Appointment_ID]],Treatments!$A:$F,3,FALSE)</f>
        <v>Physiotherapy</v>
      </c>
      <c r="U87" s="54">
        <f>VLOOKUP(treatments[[#This Row],[appointment_id]],Treatments!$A:$F,5,FALSE)</f>
        <v>3759.52</v>
      </c>
      <c r="V87" s="52">
        <f>VLOOKUP(appointments7[[#This Row],[Appointment_ID]],Treatments!$A:$F,6,FALSE)</f>
        <v>45228</v>
      </c>
      <c r="W87" s="52" t="str">
        <f>VLOOKUP(appointments7[[#This Row],[Patient_ID]],Billing!$A:$G,2,FALSE)</f>
        <v>B086</v>
      </c>
      <c r="X87" s="52">
        <f>VLOOKUP(appointments7[[#This Row],[Patient_ID]],Billing!$A:$H,4,FALSE)</f>
        <v>45228</v>
      </c>
      <c r="Y87" s="54">
        <f>VLOOKUP(appointments7[[#This Row],[Patient_ID]],Billing!$A:$G,5,FALSE)</f>
        <v>3759.52</v>
      </c>
      <c r="Z87" s="54" t="str">
        <f>VLOOKUP(appointments7[[#This Row],[Patient_ID]],Billing!$A:$G,6,FALSE)</f>
        <v>Cash</v>
      </c>
      <c r="AA87" s="52" t="str">
        <f>VLOOKUP(appointments7[[#This Row],[Patient_ID]],Billing!$A:$G,7,FALSE)</f>
        <v>Pending</v>
      </c>
      <c r="AB87" s="2"/>
      <c r="AC87" s="2"/>
    </row>
    <row r="88" spans="1:29" x14ac:dyDescent="0.4">
      <c r="A88" s="51" t="s">
        <v>152</v>
      </c>
      <c r="B88" s="51" t="s">
        <v>52</v>
      </c>
      <c r="C88" s="51" t="s">
        <v>884</v>
      </c>
      <c r="D88" s="51" t="str">
        <f>VLOOKUP(appointments7[[#This Row],[Patient_ID]],Patients!$A:$K,4,FALSE)</f>
        <v>M</v>
      </c>
      <c r="E88" s="52">
        <f>VLOOKUP(appointments7[[#This Row],[Patient_ID]],Patients!$A:$K,5,FALSE)</f>
        <v>37953</v>
      </c>
      <c r="F88" s="51">
        <f>VLOOKUP(appointments7[[#This Row],[Patient_ID]],Patients!$A:$K,6,FALSE)</f>
        <v>9900972256</v>
      </c>
      <c r="G88" s="51" t="str">
        <f>VLOOKUP(appointments7[[#This Row],[Patient_ID]],Patients!$A:$K,7,FALSE)</f>
        <v>123 Elm St</v>
      </c>
      <c r="H88" s="52">
        <f>VLOOKUP(appointments7[[#This Row],[Patient_ID]],Patients!$A:$K,8,FALSE)</f>
        <v>44329</v>
      </c>
      <c r="I88" s="51" t="str">
        <f>VLOOKUP(appointments7[[#This Row],[Patient_ID]],Patients!$A:$K,11,FALSE)</f>
        <v>john.taylor@mail.com</v>
      </c>
      <c r="J88" s="51" t="s">
        <v>59</v>
      </c>
      <c r="K88" s="51" t="s">
        <v>914</v>
      </c>
      <c r="L88" s="51" t="str">
        <f>VLOOKUP(appointments7[[#This Row],[Doctor_ID]],Doctors!$A:$H,4,FALSE)</f>
        <v>Dermatology</v>
      </c>
      <c r="M88" s="51">
        <f>VLOOKUP(appointments7[[#This Row],[Doctor_ID]],Doctors!$A:$H,5,FALSE)</f>
        <v>8322010158</v>
      </c>
      <c r="N88" s="51" t="str">
        <f>VLOOKUP(appointments7[[#This Row],[Doctor_ID]],Doctors!$A:$H,7,FALSE)</f>
        <v>Westside Clinic</v>
      </c>
      <c r="O88" s="52">
        <v>45218</v>
      </c>
      <c r="P88" s="53">
        <v>0.51041666666666674</v>
      </c>
      <c r="Q88" s="51" t="s">
        <v>38</v>
      </c>
      <c r="R88" s="51" t="s">
        <v>19</v>
      </c>
      <c r="S88" s="51" t="str">
        <f>VLOOKUP(appointments7[[#This Row],[Appointment_ID]],Treatments!$A:$F,2,FALSE)</f>
        <v>T087</v>
      </c>
      <c r="T88" s="51" t="str">
        <f>VLOOKUP(appointments7[[#This Row],[Appointment_ID]],Treatments!$A:$F,3,FALSE)</f>
        <v>ECG</v>
      </c>
      <c r="U88" s="54">
        <f>VLOOKUP(treatments[[#This Row],[appointment_id]],Treatments!$A:$F,5,FALSE)</f>
        <v>3102.74</v>
      </c>
      <c r="V88" s="52">
        <f>VLOOKUP(appointments7[[#This Row],[Appointment_ID]],Treatments!$A:$F,6,FALSE)</f>
        <v>45218</v>
      </c>
      <c r="W88" s="52" t="str">
        <f>VLOOKUP(appointments7[[#This Row],[Patient_ID]],Billing!$A:$G,2,FALSE)</f>
        <v>B015</v>
      </c>
      <c r="X88" s="52">
        <f>VLOOKUP(appointments7[[#This Row],[Patient_ID]],Billing!$A:$H,4,FALSE)</f>
        <v>44941</v>
      </c>
      <c r="Y88" s="54">
        <f>VLOOKUP(appointments7[[#This Row],[Patient_ID]],Billing!$A:$G,5,FALSE)</f>
        <v>956.39</v>
      </c>
      <c r="Z88" s="54" t="str">
        <f>VLOOKUP(appointments7[[#This Row],[Patient_ID]],Billing!$A:$G,6,FALSE)</f>
        <v>Insurance</v>
      </c>
      <c r="AA88" s="52" t="str">
        <f>VLOOKUP(appointments7[[#This Row],[Patient_ID]],Billing!$A:$G,7,FALSE)</f>
        <v>Pending</v>
      </c>
      <c r="AB88" s="2"/>
      <c r="AC88" s="2"/>
    </row>
    <row r="89" spans="1:29" x14ac:dyDescent="0.4">
      <c r="A89" s="51" t="s">
        <v>153</v>
      </c>
      <c r="B89" s="51" t="s">
        <v>154</v>
      </c>
      <c r="C89" s="51" t="s">
        <v>903</v>
      </c>
      <c r="D89" s="51" t="str">
        <f>VLOOKUP(appointments7[[#This Row],[Patient_ID]],Patients!$A:$K,4,FALSE)</f>
        <v>F</v>
      </c>
      <c r="E89" s="52">
        <f>VLOOKUP(appointments7[[#This Row],[Patient_ID]],Patients!$A:$K,5,FALSE)</f>
        <v>27946</v>
      </c>
      <c r="F89" s="51">
        <f>VLOOKUP(appointments7[[#This Row],[Patient_ID]],Patients!$A:$K,6,FALSE)</f>
        <v>7090558393</v>
      </c>
      <c r="G89" s="51" t="str">
        <f>VLOOKUP(appointments7[[#This Row],[Patient_ID]],Patients!$A:$K,7,FALSE)</f>
        <v>456 Oak Ave</v>
      </c>
      <c r="H89" s="52">
        <f>VLOOKUP(appointments7[[#This Row],[Patient_ID]],Patients!$A:$K,8,FALSE)</f>
        <v>44341</v>
      </c>
      <c r="I89" s="51" t="str">
        <f>VLOOKUP(appointments7[[#This Row],[Patient_ID]],Patients!$A:$K,11,FALSE)</f>
        <v>david.davis@mail.com</v>
      </c>
      <c r="J89" s="51" t="s">
        <v>74</v>
      </c>
      <c r="K89" s="51" t="s">
        <v>915</v>
      </c>
      <c r="L89" s="51" t="str">
        <f>VLOOKUP(appointments7[[#This Row],[Doctor_ID]],Doctors!$A:$H,4,FALSE)</f>
        <v>Dermatology</v>
      </c>
      <c r="M89" s="51">
        <f>VLOOKUP(appointments7[[#This Row],[Doctor_ID]],Doctors!$A:$H,5,FALSE)</f>
        <v>9118538547</v>
      </c>
      <c r="N89" s="51" t="str">
        <f>VLOOKUP(appointments7[[#This Row],[Doctor_ID]],Doctors!$A:$H,7,FALSE)</f>
        <v>Central Hospital</v>
      </c>
      <c r="O89" s="52">
        <v>45048</v>
      </c>
      <c r="P89" s="53">
        <v>0.6875</v>
      </c>
      <c r="Q89" s="51" t="s">
        <v>29</v>
      </c>
      <c r="R89" s="51" t="s">
        <v>41</v>
      </c>
      <c r="S89" s="51" t="str">
        <f>VLOOKUP(appointments7[[#This Row],[Appointment_ID]],Treatments!$A:$F,2,FALSE)</f>
        <v>T088</v>
      </c>
      <c r="T89" s="51" t="str">
        <f>VLOOKUP(appointments7[[#This Row],[Appointment_ID]],Treatments!$A:$F,3,FALSE)</f>
        <v>Physiotherapy</v>
      </c>
      <c r="U89" s="54">
        <f>VLOOKUP(treatments[[#This Row],[appointment_id]],Treatments!$A:$F,5,FALSE)</f>
        <v>1733.72</v>
      </c>
      <c r="V89" s="52">
        <f>VLOOKUP(appointments7[[#This Row],[Appointment_ID]],Treatments!$A:$F,6,FALSE)</f>
        <v>45048</v>
      </c>
      <c r="W89" s="52" t="str">
        <f>VLOOKUP(appointments7[[#This Row],[Patient_ID]],Billing!$A:$G,2,FALSE)</f>
        <v>B088</v>
      </c>
      <c r="X89" s="52">
        <f>VLOOKUP(appointments7[[#This Row],[Patient_ID]],Billing!$A:$H,4,FALSE)</f>
        <v>45048</v>
      </c>
      <c r="Y89" s="54">
        <f>VLOOKUP(appointments7[[#This Row],[Patient_ID]],Billing!$A:$G,5,FALSE)</f>
        <v>1733.72</v>
      </c>
      <c r="Z89" s="54" t="str">
        <f>VLOOKUP(appointments7[[#This Row],[Patient_ID]],Billing!$A:$G,6,FALSE)</f>
        <v>Cash</v>
      </c>
      <c r="AA89" s="52" t="str">
        <f>VLOOKUP(appointments7[[#This Row],[Patient_ID]],Billing!$A:$G,7,FALSE)</f>
        <v>Paid</v>
      </c>
      <c r="AB89" s="2"/>
      <c r="AC89" s="2"/>
    </row>
    <row r="90" spans="1:29" x14ac:dyDescent="0.4">
      <c r="A90" s="51" t="s">
        <v>155</v>
      </c>
      <c r="B90" s="51" t="s">
        <v>45</v>
      </c>
      <c r="C90" s="51" t="s">
        <v>881</v>
      </c>
      <c r="D90" s="51" t="str">
        <f>VLOOKUP(appointments7[[#This Row],[Patient_ID]],Patients!$A:$K,4,FALSE)</f>
        <v>M</v>
      </c>
      <c r="E90" s="52">
        <f>VLOOKUP(appointments7[[#This Row],[Patient_ID]],Patients!$A:$K,5,FALSE)</f>
        <v>38487</v>
      </c>
      <c r="F90" s="51">
        <f>VLOOKUP(appointments7[[#This Row],[Patient_ID]],Patients!$A:$K,6,FALSE)</f>
        <v>8923607677</v>
      </c>
      <c r="G90" s="51" t="str">
        <f>VLOOKUP(appointments7[[#This Row],[Patient_ID]],Patients!$A:$K,7,FALSE)</f>
        <v>789 Pine Rd</v>
      </c>
      <c r="H90" s="52">
        <f>VLOOKUP(appointments7[[#This Row],[Patient_ID]],Patients!$A:$K,8,FALSE)</f>
        <v>45035</v>
      </c>
      <c r="I90" s="51" t="str">
        <f>VLOOKUP(appointments7[[#This Row],[Patient_ID]],Patients!$A:$K,11,FALSE)</f>
        <v>david.smith@mail.com</v>
      </c>
      <c r="J90" s="51" t="s">
        <v>35</v>
      </c>
      <c r="K90" s="51" t="s">
        <v>912</v>
      </c>
      <c r="L90" s="51" t="str">
        <f>VLOOKUP(appointments7[[#This Row],[Doctor_ID]],Doctors!$A:$H,4,FALSE)</f>
        <v>Oncology</v>
      </c>
      <c r="M90" s="51">
        <f>VLOOKUP(appointments7[[#This Row],[Doctor_ID]],Doctors!$A:$H,5,FALSE)</f>
        <v>6176383634</v>
      </c>
      <c r="N90" s="51" t="str">
        <f>VLOOKUP(appointments7[[#This Row],[Doctor_ID]],Doctors!$A:$H,7,FALSE)</f>
        <v>Eastside Clinic</v>
      </c>
      <c r="O90" s="52">
        <v>44971</v>
      </c>
      <c r="P90" s="53">
        <v>0.45833333333333326</v>
      </c>
      <c r="Q90" s="51" t="s">
        <v>18</v>
      </c>
      <c r="R90" s="51" t="s">
        <v>41</v>
      </c>
      <c r="S90" s="51" t="str">
        <f>VLOOKUP(appointments7[[#This Row],[Appointment_ID]],Treatments!$A:$F,2,FALSE)</f>
        <v>T089</v>
      </c>
      <c r="T90" s="51" t="str">
        <f>VLOOKUP(appointments7[[#This Row],[Appointment_ID]],Treatments!$A:$F,3,FALSE)</f>
        <v>Chemotherapy</v>
      </c>
      <c r="U90" s="54">
        <f>VLOOKUP(treatments[[#This Row],[appointment_id]],Treatments!$A:$F,5,FALSE)</f>
        <v>857.39</v>
      </c>
      <c r="V90" s="52">
        <f>VLOOKUP(appointments7[[#This Row],[Appointment_ID]],Treatments!$A:$F,6,FALSE)</f>
        <v>44971</v>
      </c>
      <c r="W90" s="52" t="str">
        <f>VLOOKUP(appointments7[[#This Row],[Patient_ID]],Billing!$A:$G,2,FALSE)</f>
        <v>B012</v>
      </c>
      <c r="X90" s="52">
        <f>VLOOKUP(appointments7[[#This Row],[Patient_ID]],Billing!$A:$H,4,FALSE)</f>
        <v>45053</v>
      </c>
      <c r="Y90" s="54">
        <f>VLOOKUP(appointments7[[#This Row],[Patient_ID]],Billing!$A:$G,5,FALSE)</f>
        <v>771.2</v>
      </c>
      <c r="Z90" s="54" t="str">
        <f>VLOOKUP(appointments7[[#This Row],[Patient_ID]],Billing!$A:$G,6,FALSE)</f>
        <v>Insurance</v>
      </c>
      <c r="AA90" s="52" t="str">
        <f>VLOOKUP(appointments7[[#This Row],[Patient_ID]],Billing!$A:$G,7,FALSE)</f>
        <v>Pending</v>
      </c>
      <c r="AB90" s="2"/>
      <c r="AC90" s="2"/>
    </row>
    <row r="91" spans="1:29" x14ac:dyDescent="0.4">
      <c r="A91" s="51" t="s">
        <v>156</v>
      </c>
      <c r="B91" s="51" t="s">
        <v>52</v>
      </c>
      <c r="C91" s="51" t="s">
        <v>884</v>
      </c>
      <c r="D91" s="51" t="str">
        <f>VLOOKUP(appointments7[[#This Row],[Patient_ID]],Patients!$A:$K,4,FALSE)</f>
        <v>M</v>
      </c>
      <c r="E91" s="52">
        <f>VLOOKUP(appointments7[[#This Row],[Patient_ID]],Patients!$A:$K,5,FALSE)</f>
        <v>37953</v>
      </c>
      <c r="F91" s="51">
        <f>VLOOKUP(appointments7[[#This Row],[Patient_ID]],Patients!$A:$K,6,FALSE)</f>
        <v>9900972256</v>
      </c>
      <c r="G91" s="51" t="str">
        <f>VLOOKUP(appointments7[[#This Row],[Patient_ID]],Patients!$A:$K,7,FALSE)</f>
        <v>123 Elm St</v>
      </c>
      <c r="H91" s="52">
        <f>VLOOKUP(appointments7[[#This Row],[Patient_ID]],Patients!$A:$K,8,FALSE)</f>
        <v>44329</v>
      </c>
      <c r="I91" s="51" t="str">
        <f>VLOOKUP(appointments7[[#This Row],[Patient_ID]],Patients!$A:$K,11,FALSE)</f>
        <v>john.taylor@mail.com</v>
      </c>
      <c r="J91" s="51" t="s">
        <v>9</v>
      </c>
      <c r="K91" s="51" t="s">
        <v>908</v>
      </c>
      <c r="L91" s="51" t="str">
        <f>VLOOKUP(appointments7[[#This Row],[Doctor_ID]],Doctors!$A:$H,4,FALSE)</f>
        <v>Pediatrics</v>
      </c>
      <c r="M91" s="51">
        <f>VLOOKUP(appointments7[[#This Row],[Doctor_ID]],Doctors!$A:$H,5,FALSE)</f>
        <v>7387087517</v>
      </c>
      <c r="N91" s="51" t="str">
        <f>VLOOKUP(appointments7[[#This Row],[Doctor_ID]],Doctors!$A:$H,7,FALSE)</f>
        <v>Central Hospital</v>
      </c>
      <c r="O91" s="52">
        <v>45078</v>
      </c>
      <c r="P91" s="53">
        <v>0.72916666666666674</v>
      </c>
      <c r="Q91" s="51" t="s">
        <v>26</v>
      </c>
      <c r="R91" s="51" t="s">
        <v>15</v>
      </c>
      <c r="S91" s="51" t="str">
        <f>VLOOKUP(appointments7[[#This Row],[Appointment_ID]],Treatments!$A:$F,2,FALSE)</f>
        <v>T090</v>
      </c>
      <c r="T91" s="51" t="str">
        <f>VLOOKUP(appointments7[[#This Row],[Appointment_ID]],Treatments!$A:$F,3,FALSE)</f>
        <v>X-Ray</v>
      </c>
      <c r="U91" s="54">
        <f>VLOOKUP(treatments[[#This Row],[appointment_id]],Treatments!$A:$F,5,FALSE)</f>
        <v>885.46</v>
      </c>
      <c r="V91" s="52">
        <f>VLOOKUP(appointments7[[#This Row],[Appointment_ID]],Treatments!$A:$F,6,FALSE)</f>
        <v>45078</v>
      </c>
      <c r="W91" s="52" t="str">
        <f>VLOOKUP(appointments7[[#This Row],[Patient_ID]],Billing!$A:$G,2,FALSE)</f>
        <v>B015</v>
      </c>
      <c r="X91" s="52">
        <f>VLOOKUP(appointments7[[#This Row],[Patient_ID]],Billing!$A:$H,4,FALSE)</f>
        <v>44941</v>
      </c>
      <c r="Y91" s="54">
        <f>VLOOKUP(appointments7[[#This Row],[Patient_ID]],Billing!$A:$G,5,FALSE)</f>
        <v>956.39</v>
      </c>
      <c r="Z91" s="54" t="str">
        <f>VLOOKUP(appointments7[[#This Row],[Patient_ID]],Billing!$A:$G,6,FALSE)</f>
        <v>Insurance</v>
      </c>
      <c r="AA91" s="52" t="str">
        <f>VLOOKUP(appointments7[[#This Row],[Patient_ID]],Billing!$A:$G,7,FALSE)</f>
        <v>Pending</v>
      </c>
      <c r="AB91" s="2"/>
      <c r="AC91" s="2"/>
    </row>
    <row r="92" spans="1:29" x14ac:dyDescent="0.4">
      <c r="A92" s="51" t="s">
        <v>157</v>
      </c>
      <c r="B92" s="51" t="s">
        <v>92</v>
      </c>
      <c r="C92" s="51" t="s">
        <v>877</v>
      </c>
      <c r="D92" s="51" t="str">
        <f>VLOOKUP(appointments7[[#This Row],[Patient_ID]],Patients!$A:$K,4,FALSE)</f>
        <v>M</v>
      </c>
      <c r="E92" s="52">
        <f>VLOOKUP(appointments7[[#This Row],[Patient_ID]],Patients!$A:$K,5,FALSE)</f>
        <v>37177</v>
      </c>
      <c r="F92" s="51">
        <f>VLOOKUP(appointments7[[#This Row],[Patient_ID]],Patients!$A:$K,6,FALSE)</f>
        <v>7081396733</v>
      </c>
      <c r="G92" s="51" t="str">
        <f>VLOOKUP(appointments7[[#This Row],[Patient_ID]],Patients!$A:$K,7,FALSE)</f>
        <v>123 Elm St</v>
      </c>
      <c r="H92" s="52">
        <f>VLOOKUP(appointments7[[#This Row],[Patient_ID]],Patients!$A:$K,8,FALSE)</f>
        <v>44797</v>
      </c>
      <c r="I92" s="51" t="str">
        <f>VLOOKUP(appointments7[[#This Row],[Patient_ID]],Patients!$A:$K,11,FALSE)</f>
        <v>michael.taylor@mail.com</v>
      </c>
      <c r="J92" s="51" t="s">
        <v>22</v>
      </c>
      <c r="K92" s="51" t="s">
        <v>910</v>
      </c>
      <c r="L92" s="51" t="str">
        <f>VLOOKUP(appointments7[[#This Row],[Doctor_ID]],Doctors!$A:$H,4,FALSE)</f>
        <v>Pediatrics</v>
      </c>
      <c r="M92" s="51">
        <f>VLOOKUP(appointments7[[#This Row],[Doctor_ID]],Doctors!$A:$H,5,FALSE)</f>
        <v>6570137231</v>
      </c>
      <c r="N92" s="51" t="str">
        <f>VLOOKUP(appointments7[[#This Row],[Doctor_ID]],Doctors!$A:$H,7,FALSE)</f>
        <v>Central Hospital</v>
      </c>
      <c r="O92" s="52">
        <v>45088</v>
      </c>
      <c r="P92" s="53">
        <v>0.55208333333333326</v>
      </c>
      <c r="Q92" s="51" t="s">
        <v>26</v>
      </c>
      <c r="R92" s="51" t="s">
        <v>19</v>
      </c>
      <c r="S92" s="51" t="str">
        <f>VLOOKUP(appointments7[[#This Row],[Appointment_ID]],Treatments!$A:$F,2,FALSE)</f>
        <v>T091</v>
      </c>
      <c r="T92" s="51" t="str">
        <f>VLOOKUP(appointments7[[#This Row],[Appointment_ID]],Treatments!$A:$F,3,FALSE)</f>
        <v>X-Ray</v>
      </c>
      <c r="U92" s="54">
        <f>VLOOKUP(treatments[[#This Row],[appointment_id]],Treatments!$A:$F,5,FALSE)</f>
        <v>4523.8599999999997</v>
      </c>
      <c r="V92" s="52">
        <f>VLOOKUP(appointments7[[#This Row],[Appointment_ID]],Treatments!$A:$F,6,FALSE)</f>
        <v>45088</v>
      </c>
      <c r="W92" s="52" t="str">
        <f>VLOOKUP(appointments7[[#This Row],[Patient_ID]],Billing!$A:$G,2,FALSE)</f>
        <v>B040</v>
      </c>
      <c r="X92" s="52">
        <f>VLOOKUP(appointments7[[#This Row],[Patient_ID]],Billing!$A:$H,4,FALSE)</f>
        <v>45012</v>
      </c>
      <c r="Y92" s="54">
        <f>VLOOKUP(appointments7[[#This Row],[Patient_ID]],Billing!$A:$G,5,FALSE)</f>
        <v>695.36</v>
      </c>
      <c r="Z92" s="54" t="str">
        <f>VLOOKUP(appointments7[[#This Row],[Patient_ID]],Billing!$A:$G,6,FALSE)</f>
        <v>Cash</v>
      </c>
      <c r="AA92" s="52" t="str">
        <f>VLOOKUP(appointments7[[#This Row],[Patient_ID]],Billing!$A:$G,7,FALSE)</f>
        <v>Failed</v>
      </c>
      <c r="AB92" s="2"/>
      <c r="AC92" s="2"/>
    </row>
    <row r="93" spans="1:29" x14ac:dyDescent="0.4">
      <c r="A93" s="51" t="s">
        <v>158</v>
      </c>
      <c r="B93" s="51" t="s">
        <v>52</v>
      </c>
      <c r="C93" s="51" t="s">
        <v>884</v>
      </c>
      <c r="D93" s="51" t="str">
        <f>VLOOKUP(appointments7[[#This Row],[Patient_ID]],Patients!$A:$K,4,FALSE)</f>
        <v>M</v>
      </c>
      <c r="E93" s="52">
        <f>VLOOKUP(appointments7[[#This Row],[Patient_ID]],Patients!$A:$K,5,FALSE)</f>
        <v>37953</v>
      </c>
      <c r="F93" s="51">
        <f>VLOOKUP(appointments7[[#This Row],[Patient_ID]],Patients!$A:$K,6,FALSE)</f>
        <v>9900972256</v>
      </c>
      <c r="G93" s="51" t="str">
        <f>VLOOKUP(appointments7[[#This Row],[Patient_ID]],Patients!$A:$K,7,FALSE)</f>
        <v>123 Elm St</v>
      </c>
      <c r="H93" s="52">
        <f>VLOOKUP(appointments7[[#This Row],[Patient_ID]],Patients!$A:$K,8,FALSE)</f>
        <v>44329</v>
      </c>
      <c r="I93" s="51" t="str">
        <f>VLOOKUP(appointments7[[#This Row],[Patient_ID]],Patients!$A:$K,11,FALSE)</f>
        <v>john.taylor@mail.com</v>
      </c>
      <c r="J93" s="51" t="s">
        <v>59</v>
      </c>
      <c r="K93" s="51" t="s">
        <v>914</v>
      </c>
      <c r="L93" s="51" t="str">
        <f>VLOOKUP(appointments7[[#This Row],[Doctor_ID]],Doctors!$A:$H,4,FALSE)</f>
        <v>Dermatology</v>
      </c>
      <c r="M93" s="51">
        <f>VLOOKUP(appointments7[[#This Row],[Doctor_ID]],Doctors!$A:$H,5,FALSE)</f>
        <v>8322010158</v>
      </c>
      <c r="N93" s="51" t="str">
        <f>VLOOKUP(appointments7[[#This Row],[Doctor_ID]],Doctors!$A:$H,7,FALSE)</f>
        <v>Westside Clinic</v>
      </c>
      <c r="O93" s="52">
        <v>44956</v>
      </c>
      <c r="P93" s="53">
        <v>0.59375</v>
      </c>
      <c r="Q93" s="51" t="s">
        <v>10</v>
      </c>
      <c r="R93" s="51" t="s">
        <v>11</v>
      </c>
      <c r="S93" s="51" t="str">
        <f>VLOOKUP(appointments7[[#This Row],[Appointment_ID]],Treatments!$A:$F,2,FALSE)</f>
        <v>T092</v>
      </c>
      <c r="T93" s="51" t="str">
        <f>VLOOKUP(appointments7[[#This Row],[Appointment_ID]],Treatments!$A:$F,3,FALSE)</f>
        <v>X-Ray</v>
      </c>
      <c r="U93" s="54">
        <f>VLOOKUP(treatments[[#This Row],[appointment_id]],Treatments!$A:$F,5,FALSE)</f>
        <v>1363.4</v>
      </c>
      <c r="V93" s="52">
        <f>VLOOKUP(appointments7[[#This Row],[Appointment_ID]],Treatments!$A:$F,6,FALSE)</f>
        <v>44956</v>
      </c>
      <c r="W93" s="52" t="str">
        <f>VLOOKUP(appointments7[[#This Row],[Patient_ID]],Billing!$A:$G,2,FALSE)</f>
        <v>B015</v>
      </c>
      <c r="X93" s="52">
        <f>VLOOKUP(appointments7[[#This Row],[Patient_ID]],Billing!$A:$H,4,FALSE)</f>
        <v>44941</v>
      </c>
      <c r="Y93" s="54">
        <f>VLOOKUP(appointments7[[#This Row],[Patient_ID]],Billing!$A:$G,5,FALSE)</f>
        <v>956.39</v>
      </c>
      <c r="Z93" s="54" t="str">
        <f>VLOOKUP(appointments7[[#This Row],[Patient_ID]],Billing!$A:$G,6,FALSE)</f>
        <v>Insurance</v>
      </c>
      <c r="AA93" s="52" t="str">
        <f>VLOOKUP(appointments7[[#This Row],[Patient_ID]],Billing!$A:$G,7,FALSE)</f>
        <v>Pending</v>
      </c>
      <c r="AB93" s="2"/>
      <c r="AC93" s="2"/>
    </row>
    <row r="94" spans="1:29" x14ac:dyDescent="0.4">
      <c r="A94" s="51" t="s">
        <v>159</v>
      </c>
      <c r="B94" s="51" t="s">
        <v>8</v>
      </c>
      <c r="C94" s="51" t="s">
        <v>870</v>
      </c>
      <c r="D94" s="51" t="str">
        <f>VLOOKUP(appointments7[[#This Row],[Patient_ID]],Patients!$A:$K,4,FALSE)</f>
        <v>F</v>
      </c>
      <c r="E94" s="52">
        <f>VLOOKUP(appointments7[[#This Row],[Patient_ID]],Patients!$A:$K,5,FALSE)</f>
        <v>18289</v>
      </c>
      <c r="F94" s="51">
        <f>VLOOKUP(appointments7[[#This Row],[Patient_ID]],Patients!$A:$K,6,FALSE)</f>
        <v>8374657733</v>
      </c>
      <c r="G94" s="51" t="str">
        <f>VLOOKUP(appointments7[[#This Row],[Patient_ID]],Patients!$A:$K,7,FALSE)</f>
        <v>321 Maple Dr</v>
      </c>
      <c r="H94" s="52">
        <f>VLOOKUP(appointments7[[#This Row],[Patient_ID]],Patients!$A:$K,8,FALSE)</f>
        <v>45095</v>
      </c>
      <c r="I94" s="51" t="str">
        <f>VLOOKUP(appointments7[[#This Row],[Patient_ID]],Patients!$A:$K,11,FALSE)</f>
        <v>alex.smith@mail.com</v>
      </c>
      <c r="J94" s="51" t="s">
        <v>59</v>
      </c>
      <c r="K94" s="51" t="s">
        <v>914</v>
      </c>
      <c r="L94" s="51" t="str">
        <f>VLOOKUP(appointments7[[#This Row],[Doctor_ID]],Doctors!$A:$H,4,FALSE)</f>
        <v>Dermatology</v>
      </c>
      <c r="M94" s="51">
        <f>VLOOKUP(appointments7[[#This Row],[Doctor_ID]],Doctors!$A:$H,5,FALSE)</f>
        <v>8322010158</v>
      </c>
      <c r="N94" s="51" t="str">
        <f>VLOOKUP(appointments7[[#This Row],[Doctor_ID]],Doctors!$A:$H,7,FALSE)</f>
        <v>Westside Clinic</v>
      </c>
      <c r="O94" s="52">
        <v>45025</v>
      </c>
      <c r="P94" s="53">
        <v>0.39583333333333326</v>
      </c>
      <c r="Q94" s="51" t="s">
        <v>38</v>
      </c>
      <c r="R94" s="51" t="s">
        <v>41</v>
      </c>
      <c r="S94" s="51" t="str">
        <f>VLOOKUP(appointments7[[#This Row],[Appointment_ID]],Treatments!$A:$F,2,FALSE)</f>
        <v>T093</v>
      </c>
      <c r="T94" s="51" t="str">
        <f>VLOOKUP(appointments7[[#This Row],[Appointment_ID]],Treatments!$A:$F,3,FALSE)</f>
        <v>X-Ray</v>
      </c>
      <c r="U94" s="54">
        <f>VLOOKUP(treatments[[#This Row],[appointment_id]],Treatments!$A:$F,5,FALSE)</f>
        <v>1955.17</v>
      </c>
      <c r="V94" s="52">
        <f>VLOOKUP(appointments7[[#This Row],[Appointment_ID]],Treatments!$A:$F,6,FALSE)</f>
        <v>45025</v>
      </c>
      <c r="W94" s="52" t="str">
        <f>VLOOKUP(appointments7[[#This Row],[Patient_ID]],Billing!$A:$G,2,FALSE)</f>
        <v>B001</v>
      </c>
      <c r="X94" s="52">
        <f>VLOOKUP(appointments7[[#This Row],[Patient_ID]],Billing!$A:$H,4,FALSE)</f>
        <v>45147</v>
      </c>
      <c r="Y94" s="54">
        <f>VLOOKUP(appointments7[[#This Row],[Patient_ID]],Billing!$A:$G,5,FALSE)</f>
        <v>3941.97</v>
      </c>
      <c r="Z94" s="54" t="str">
        <f>VLOOKUP(appointments7[[#This Row],[Patient_ID]],Billing!$A:$G,6,FALSE)</f>
        <v>Insurance</v>
      </c>
      <c r="AA94" s="52" t="str">
        <f>VLOOKUP(appointments7[[#This Row],[Patient_ID]],Billing!$A:$G,7,FALSE)</f>
        <v>Pending</v>
      </c>
      <c r="AB94" s="2"/>
      <c r="AC94" s="2"/>
    </row>
    <row r="95" spans="1:29" x14ac:dyDescent="0.4">
      <c r="A95" s="51" t="s">
        <v>160</v>
      </c>
      <c r="B95" s="51" t="s">
        <v>161</v>
      </c>
      <c r="C95" s="51" t="s">
        <v>885</v>
      </c>
      <c r="D95" s="51" t="str">
        <f>VLOOKUP(appointments7[[#This Row],[Patient_ID]],Patients!$A:$K,4,FALSE)</f>
        <v>M</v>
      </c>
      <c r="E95" s="52">
        <f>VLOOKUP(appointments7[[#This Row],[Patient_ID]],Patients!$A:$K,5,FALSE)</f>
        <v>18798</v>
      </c>
      <c r="F95" s="51">
        <f>VLOOKUP(appointments7[[#This Row],[Patient_ID]],Patients!$A:$K,6,FALSE)</f>
        <v>7020645498</v>
      </c>
      <c r="G95" s="51" t="str">
        <f>VLOOKUP(appointments7[[#This Row],[Patient_ID]],Patients!$A:$K,7,FALSE)</f>
        <v>456 Oak Ave</v>
      </c>
      <c r="H95" s="52">
        <f>VLOOKUP(appointments7[[#This Row],[Patient_ID]],Patients!$A:$K,8,FALSE)</f>
        <v>44758</v>
      </c>
      <c r="I95" s="51" t="str">
        <f>VLOOKUP(appointments7[[#This Row],[Patient_ID]],Patients!$A:$K,11,FALSE)</f>
        <v>robert.williams@mail.com</v>
      </c>
      <c r="J95" s="51" t="s">
        <v>48</v>
      </c>
      <c r="K95" s="51" t="s">
        <v>913</v>
      </c>
      <c r="L95" s="51" t="str">
        <f>VLOOKUP(appointments7[[#This Row],[Doctor_ID]],Doctors!$A:$H,4,FALSE)</f>
        <v>Pediatrics</v>
      </c>
      <c r="M95" s="51">
        <f>VLOOKUP(appointments7[[#This Row],[Doctor_ID]],Doctors!$A:$H,5,FALSE)</f>
        <v>9004382050</v>
      </c>
      <c r="N95" s="51" t="str">
        <f>VLOOKUP(appointments7[[#This Row],[Doctor_ID]],Doctors!$A:$H,7,FALSE)</f>
        <v>Eastside Clinic</v>
      </c>
      <c r="O95" s="52">
        <v>45024</v>
      </c>
      <c r="P95" s="53">
        <v>0.36458333333333326</v>
      </c>
      <c r="Q95" s="51" t="s">
        <v>18</v>
      </c>
      <c r="R95" s="51" t="s">
        <v>19</v>
      </c>
      <c r="S95" s="51" t="str">
        <f>VLOOKUP(appointments7[[#This Row],[Appointment_ID]],Treatments!$A:$F,2,FALSE)</f>
        <v>T094</v>
      </c>
      <c r="T95" s="51" t="str">
        <f>VLOOKUP(appointments7[[#This Row],[Appointment_ID]],Treatments!$A:$F,3,FALSE)</f>
        <v>X-Ray</v>
      </c>
      <c r="U95" s="54">
        <f>VLOOKUP(treatments[[#This Row],[appointment_id]],Treatments!$A:$F,5,FALSE)</f>
        <v>1519.95</v>
      </c>
      <c r="V95" s="52">
        <f>VLOOKUP(appointments7[[#This Row],[Appointment_ID]],Treatments!$A:$F,6,FALSE)</f>
        <v>45024</v>
      </c>
      <c r="W95" s="52" t="str">
        <f>VLOOKUP(appointments7[[#This Row],[Patient_ID]],Billing!$A:$G,2,FALSE)</f>
        <v>B094</v>
      </c>
      <c r="X95" s="52">
        <f>VLOOKUP(appointments7[[#This Row],[Patient_ID]],Billing!$A:$H,4,FALSE)</f>
        <v>45024</v>
      </c>
      <c r="Y95" s="54">
        <f>VLOOKUP(appointments7[[#This Row],[Patient_ID]],Billing!$A:$G,5,FALSE)</f>
        <v>1519.95</v>
      </c>
      <c r="Z95" s="54" t="str">
        <f>VLOOKUP(appointments7[[#This Row],[Patient_ID]],Billing!$A:$G,6,FALSE)</f>
        <v>Cash</v>
      </c>
      <c r="AA95" s="52" t="str">
        <f>VLOOKUP(appointments7[[#This Row],[Patient_ID]],Billing!$A:$G,7,FALSE)</f>
        <v>Failed</v>
      </c>
      <c r="AB95" s="2"/>
      <c r="AC95" s="2"/>
    </row>
    <row r="96" spans="1:29" x14ac:dyDescent="0.4">
      <c r="A96" s="51" t="s">
        <v>162</v>
      </c>
      <c r="B96" s="51" t="s">
        <v>163</v>
      </c>
      <c r="C96" s="51" t="s">
        <v>904</v>
      </c>
      <c r="D96" s="51" t="str">
        <f>VLOOKUP(appointments7[[#This Row],[Patient_ID]],Patients!$A:$K,4,FALSE)</f>
        <v>F</v>
      </c>
      <c r="E96" s="52">
        <f>VLOOKUP(appointments7[[#This Row],[Patient_ID]],Patients!$A:$K,5,FALSE)</f>
        <v>32667</v>
      </c>
      <c r="F96" s="51">
        <f>VLOOKUP(appointments7[[#This Row],[Patient_ID]],Patients!$A:$K,6,FALSE)</f>
        <v>6278710077</v>
      </c>
      <c r="G96" s="51" t="str">
        <f>VLOOKUP(appointments7[[#This Row],[Patient_ID]],Patients!$A:$K,7,FALSE)</f>
        <v>789 Pine Rd</v>
      </c>
      <c r="H96" s="52">
        <f>VLOOKUP(appointments7[[#This Row],[Patient_ID]],Patients!$A:$K,8,FALSE)</f>
        <v>44555</v>
      </c>
      <c r="I96" s="51" t="str">
        <f>VLOOKUP(appointments7[[#This Row],[Patient_ID]],Patients!$A:$K,11,FALSE)</f>
        <v>alex.johnson@mail.com</v>
      </c>
      <c r="J96" s="51" t="s">
        <v>9</v>
      </c>
      <c r="K96" s="51" t="s">
        <v>908</v>
      </c>
      <c r="L96" s="51" t="str">
        <f>VLOOKUP(appointments7[[#This Row],[Doctor_ID]],Doctors!$A:$H,4,FALSE)</f>
        <v>Pediatrics</v>
      </c>
      <c r="M96" s="51">
        <f>VLOOKUP(appointments7[[#This Row],[Doctor_ID]],Doctors!$A:$H,5,FALSE)</f>
        <v>7387087517</v>
      </c>
      <c r="N96" s="51" t="str">
        <f>VLOOKUP(appointments7[[#This Row],[Doctor_ID]],Doctors!$A:$H,7,FALSE)</f>
        <v>Central Hospital</v>
      </c>
      <c r="O96" s="52">
        <v>45055</v>
      </c>
      <c r="P96" s="53">
        <v>0.42708333333333326</v>
      </c>
      <c r="Q96" s="51" t="s">
        <v>10</v>
      </c>
      <c r="R96" s="51" t="s">
        <v>19</v>
      </c>
      <c r="S96" s="51" t="str">
        <f>VLOOKUP(appointments7[[#This Row],[Appointment_ID]],Treatments!$A:$F,2,FALSE)</f>
        <v>T095</v>
      </c>
      <c r="T96" s="51" t="str">
        <f>VLOOKUP(appointments7[[#This Row],[Appointment_ID]],Treatments!$A:$F,3,FALSE)</f>
        <v>X-Ray</v>
      </c>
      <c r="U96" s="54">
        <f>VLOOKUP(treatments[[#This Row],[appointment_id]],Treatments!$A:$F,5,FALSE)</f>
        <v>2097.48</v>
      </c>
      <c r="V96" s="52">
        <f>VLOOKUP(appointments7[[#This Row],[Appointment_ID]],Treatments!$A:$F,6,FALSE)</f>
        <v>45055</v>
      </c>
      <c r="W96" s="52" t="str">
        <f>VLOOKUP(appointments7[[#This Row],[Patient_ID]],Billing!$A:$G,2,FALSE)</f>
        <v>B095</v>
      </c>
      <c r="X96" s="52">
        <f>VLOOKUP(appointments7[[#This Row],[Patient_ID]],Billing!$A:$H,4,FALSE)</f>
        <v>45055</v>
      </c>
      <c r="Y96" s="54">
        <f>VLOOKUP(appointments7[[#This Row],[Patient_ID]],Billing!$A:$G,5,FALSE)</f>
        <v>2097.48</v>
      </c>
      <c r="Z96" s="54" t="str">
        <f>VLOOKUP(appointments7[[#This Row],[Patient_ID]],Billing!$A:$G,6,FALSE)</f>
        <v>Cash</v>
      </c>
      <c r="AA96" s="52" t="str">
        <f>VLOOKUP(appointments7[[#This Row],[Patient_ID]],Billing!$A:$G,7,FALSE)</f>
        <v>Failed</v>
      </c>
      <c r="AB96" s="2"/>
      <c r="AC96" s="2"/>
    </row>
    <row r="97" spans="1:29" x14ac:dyDescent="0.4">
      <c r="A97" s="51" t="s">
        <v>164</v>
      </c>
      <c r="B97" s="51" t="s">
        <v>106</v>
      </c>
      <c r="C97" s="51" t="s">
        <v>894</v>
      </c>
      <c r="D97" s="51" t="str">
        <f>VLOOKUP(appointments7[[#This Row],[Patient_ID]],Patients!$A:$K,4,FALSE)</f>
        <v>F</v>
      </c>
      <c r="E97" s="52">
        <f>VLOOKUP(appointments7[[#This Row],[Patient_ID]],Patients!$A:$K,5,FALSE)</f>
        <v>29637</v>
      </c>
      <c r="F97" s="51">
        <f>VLOOKUP(appointments7[[#This Row],[Patient_ID]],Patients!$A:$K,6,FALSE)</f>
        <v>9019443432</v>
      </c>
      <c r="G97" s="51" t="str">
        <f>VLOOKUP(appointments7[[#This Row],[Patient_ID]],Patients!$A:$K,7,FALSE)</f>
        <v>123 Elm St</v>
      </c>
      <c r="H97" s="52">
        <f>VLOOKUP(appointments7[[#This Row],[Patient_ID]],Patients!$A:$K,8,FALSE)</f>
        <v>44257</v>
      </c>
      <c r="I97" s="51" t="str">
        <f>VLOOKUP(appointments7[[#This Row],[Patient_ID]],Patients!$A:$K,11,FALSE)</f>
        <v>michael.johnson@mail.com</v>
      </c>
      <c r="J97" s="51" t="s">
        <v>25</v>
      </c>
      <c r="K97" s="51" t="s">
        <v>906</v>
      </c>
      <c r="L97" s="51" t="str">
        <f>VLOOKUP(appointments7[[#This Row],[Doctor_ID]],Doctors!$A:$H,4,FALSE)</f>
        <v>Pediatrics</v>
      </c>
      <c r="M97" s="51">
        <f>VLOOKUP(appointments7[[#This Row],[Doctor_ID]],Doctors!$A:$H,5,FALSE)</f>
        <v>8737740598</v>
      </c>
      <c r="N97" s="51" t="str">
        <f>VLOOKUP(appointments7[[#This Row],[Doctor_ID]],Doctors!$A:$H,7,FALSE)</f>
        <v>Eastside Clinic</v>
      </c>
      <c r="O97" s="52">
        <v>45114</v>
      </c>
      <c r="P97" s="53">
        <v>0.625</v>
      </c>
      <c r="Q97" s="51" t="s">
        <v>18</v>
      </c>
      <c r="R97" s="51" t="s">
        <v>41</v>
      </c>
      <c r="S97" s="51" t="str">
        <f>VLOOKUP(appointments7[[#This Row],[Appointment_ID]],Treatments!$A:$F,2,FALSE)</f>
        <v>T096</v>
      </c>
      <c r="T97" s="51" t="str">
        <f>VLOOKUP(appointments7[[#This Row],[Appointment_ID]],Treatments!$A:$F,3,FALSE)</f>
        <v>X-Ray</v>
      </c>
      <c r="U97" s="54">
        <f>VLOOKUP(treatments[[#This Row],[appointment_id]],Treatments!$A:$F,5,FALSE)</f>
        <v>812.41</v>
      </c>
      <c r="V97" s="52">
        <f>VLOOKUP(appointments7[[#This Row],[Appointment_ID]],Treatments!$A:$F,6,FALSE)</f>
        <v>45114</v>
      </c>
      <c r="W97" s="52" t="str">
        <f>VLOOKUP(appointments7[[#This Row],[Patient_ID]],Billing!$A:$G,2,FALSE)</f>
        <v>B051</v>
      </c>
      <c r="X97" s="52">
        <f>VLOOKUP(appointments7[[#This Row],[Patient_ID]],Billing!$A:$H,4,FALSE)</f>
        <v>44961</v>
      </c>
      <c r="Y97" s="54">
        <f>VLOOKUP(appointments7[[#This Row],[Patient_ID]],Billing!$A:$G,5,FALSE)</f>
        <v>4550.1000000000004</v>
      </c>
      <c r="Z97" s="54" t="str">
        <f>VLOOKUP(appointments7[[#This Row],[Patient_ID]],Billing!$A:$G,6,FALSE)</f>
        <v>Credit Card</v>
      </c>
      <c r="AA97" s="52" t="str">
        <f>VLOOKUP(appointments7[[#This Row],[Patient_ID]],Billing!$A:$G,7,FALSE)</f>
        <v>Failed</v>
      </c>
      <c r="AB97" s="2"/>
      <c r="AC97" s="2"/>
    </row>
    <row r="98" spans="1:29" x14ac:dyDescent="0.4">
      <c r="A98" s="51" t="s">
        <v>165</v>
      </c>
      <c r="B98" s="51" t="s">
        <v>123</v>
      </c>
      <c r="C98" s="51" t="s">
        <v>898</v>
      </c>
      <c r="D98" s="51" t="str">
        <f>VLOOKUP(appointments7[[#This Row],[Patient_ID]],Patients!$A:$K,4,FALSE)</f>
        <v>M</v>
      </c>
      <c r="E98" s="52">
        <f>VLOOKUP(appointments7[[#This Row],[Patient_ID]],Patients!$A:$K,5,FALSE)</f>
        <v>34330</v>
      </c>
      <c r="F98" s="51">
        <f>VLOOKUP(appointments7[[#This Row],[Patient_ID]],Patients!$A:$K,6,FALSE)</f>
        <v>8301134730</v>
      </c>
      <c r="G98" s="51" t="str">
        <f>VLOOKUP(appointments7[[#This Row],[Patient_ID]],Patients!$A:$K,7,FALSE)</f>
        <v>321 Maple Dr</v>
      </c>
      <c r="H98" s="52">
        <f>VLOOKUP(appointments7[[#This Row],[Patient_ID]],Patients!$A:$K,8,FALSE)</f>
        <v>45044</v>
      </c>
      <c r="I98" s="51" t="str">
        <f>VLOOKUP(appointments7[[#This Row],[Patient_ID]],Patients!$A:$K,11,FALSE)</f>
        <v>laura.wilson@mail.com</v>
      </c>
      <c r="J98" s="51" t="s">
        <v>59</v>
      </c>
      <c r="K98" s="51" t="s">
        <v>914</v>
      </c>
      <c r="L98" s="51" t="str">
        <f>VLOOKUP(appointments7[[#This Row],[Doctor_ID]],Doctors!$A:$H,4,FALSE)</f>
        <v>Dermatology</v>
      </c>
      <c r="M98" s="51">
        <f>VLOOKUP(appointments7[[#This Row],[Doctor_ID]],Doctors!$A:$H,5,FALSE)</f>
        <v>8322010158</v>
      </c>
      <c r="N98" s="51" t="str">
        <f>VLOOKUP(appointments7[[#This Row],[Doctor_ID]],Doctors!$A:$H,7,FALSE)</f>
        <v>Westside Clinic</v>
      </c>
      <c r="O98" s="52">
        <v>45052</v>
      </c>
      <c r="P98" s="53">
        <v>0.61458333333333326</v>
      </c>
      <c r="Q98" s="51" t="s">
        <v>38</v>
      </c>
      <c r="R98" s="51" t="s">
        <v>15</v>
      </c>
      <c r="S98" s="51" t="str">
        <f>VLOOKUP(appointments7[[#This Row],[Appointment_ID]],Treatments!$A:$F,2,FALSE)</f>
        <v>T097</v>
      </c>
      <c r="T98" s="51" t="str">
        <f>VLOOKUP(appointments7[[#This Row],[Appointment_ID]],Treatments!$A:$F,3,FALSE)</f>
        <v>Chemotherapy</v>
      </c>
      <c r="U98" s="54">
        <f>VLOOKUP(treatments[[#This Row],[appointment_id]],Treatments!$A:$F,5,FALSE)</f>
        <v>2835.77</v>
      </c>
      <c r="V98" s="52">
        <f>VLOOKUP(appointments7[[#This Row],[Appointment_ID]],Treatments!$A:$F,6,FALSE)</f>
        <v>45052</v>
      </c>
      <c r="W98" s="52" t="str">
        <f>VLOOKUP(appointments7[[#This Row],[Patient_ID]],Billing!$A:$G,2,FALSE)</f>
        <v>B063</v>
      </c>
      <c r="X98" s="52">
        <f>VLOOKUP(appointments7[[#This Row],[Patient_ID]],Billing!$A:$H,4,FALSE)</f>
        <v>45106</v>
      </c>
      <c r="Y98" s="54">
        <f>VLOOKUP(appointments7[[#This Row],[Patient_ID]],Billing!$A:$G,5,FALSE)</f>
        <v>1256.06</v>
      </c>
      <c r="Z98" s="54" t="str">
        <f>VLOOKUP(appointments7[[#This Row],[Patient_ID]],Billing!$A:$G,6,FALSE)</f>
        <v>Insurance</v>
      </c>
      <c r="AA98" s="52" t="str">
        <f>VLOOKUP(appointments7[[#This Row],[Patient_ID]],Billing!$A:$G,7,FALSE)</f>
        <v>Failed</v>
      </c>
      <c r="AB98" s="2"/>
      <c r="AC98" s="2"/>
    </row>
    <row r="99" spans="1:29" x14ac:dyDescent="0.4">
      <c r="A99" s="51" t="s">
        <v>166</v>
      </c>
      <c r="B99" s="51" t="s">
        <v>28</v>
      </c>
      <c r="C99" s="51" t="s">
        <v>875</v>
      </c>
      <c r="D99" s="51" t="str">
        <f>VLOOKUP(appointments7[[#This Row],[Patient_ID]],Patients!$A:$K,4,FALSE)</f>
        <v>F</v>
      </c>
      <c r="E99" s="52">
        <f>VLOOKUP(appointments7[[#This Row],[Patient_ID]],Patients!$A:$K,5,FALSE)</f>
        <v>24222</v>
      </c>
      <c r="F99" s="51">
        <f>VLOOKUP(appointments7[[#This Row],[Patient_ID]],Patients!$A:$K,6,FALSE)</f>
        <v>7579616535</v>
      </c>
      <c r="G99" s="51" t="str">
        <f>VLOOKUP(appointments7[[#This Row],[Patient_ID]],Patients!$A:$K,7,FALSE)</f>
        <v>321 Maple Dr</v>
      </c>
      <c r="H99" s="52">
        <f>VLOOKUP(appointments7[[#This Row],[Patient_ID]],Patients!$A:$K,8,FALSE)</f>
        <v>44219</v>
      </c>
      <c r="I99" s="51" t="str">
        <f>VLOOKUP(appointments7[[#This Row],[Patient_ID]],Patients!$A:$K,11,FALSE)</f>
        <v>linda.miller@mail.com</v>
      </c>
      <c r="J99" s="51" t="s">
        <v>74</v>
      </c>
      <c r="K99" s="51" t="s">
        <v>915</v>
      </c>
      <c r="L99" s="51" t="str">
        <f>VLOOKUP(appointments7[[#This Row],[Doctor_ID]],Doctors!$A:$H,4,FALSE)</f>
        <v>Dermatology</v>
      </c>
      <c r="M99" s="51">
        <f>VLOOKUP(appointments7[[#This Row],[Doctor_ID]],Doctors!$A:$H,5,FALSE)</f>
        <v>9118538547</v>
      </c>
      <c r="N99" s="51" t="str">
        <f>VLOOKUP(appointments7[[#This Row],[Doctor_ID]],Doctors!$A:$H,7,FALSE)</f>
        <v>Central Hospital</v>
      </c>
      <c r="O99" s="52">
        <v>45002</v>
      </c>
      <c r="P99" s="53">
        <v>0.54166666666666674</v>
      </c>
      <c r="Q99" s="51" t="s">
        <v>26</v>
      </c>
      <c r="R99" s="51" t="s">
        <v>41</v>
      </c>
      <c r="S99" s="51" t="str">
        <f>VLOOKUP(appointments7[[#This Row],[Appointment_ID]],Treatments!$A:$F,2,FALSE)</f>
        <v>T098</v>
      </c>
      <c r="T99" s="51" t="str">
        <f>VLOOKUP(appointments7[[#This Row],[Appointment_ID]],Treatments!$A:$F,3,FALSE)</f>
        <v>ECG</v>
      </c>
      <c r="U99" s="54">
        <f>VLOOKUP(treatments[[#This Row],[appointment_id]],Treatments!$A:$F,5,FALSE)</f>
        <v>804.26</v>
      </c>
      <c r="V99" s="52">
        <f>VLOOKUP(appointments7[[#This Row],[Appointment_ID]],Treatments!$A:$F,6,FALSE)</f>
        <v>45002</v>
      </c>
      <c r="W99" s="52" t="str">
        <f>VLOOKUP(appointments7[[#This Row],[Patient_ID]],Billing!$A:$G,2,FALSE)</f>
        <v>B006</v>
      </c>
      <c r="X99" s="52">
        <f>VLOOKUP(appointments7[[#This Row],[Patient_ID]],Billing!$A:$H,4,FALSE)</f>
        <v>45096</v>
      </c>
      <c r="Y99" s="54">
        <f>VLOOKUP(appointments7[[#This Row],[Patient_ID]],Billing!$A:$G,5,FALSE)</f>
        <v>1381</v>
      </c>
      <c r="Z99" s="54" t="str">
        <f>VLOOKUP(appointments7[[#This Row],[Patient_ID]],Billing!$A:$G,6,FALSE)</f>
        <v>Insurance</v>
      </c>
      <c r="AA99" s="52" t="str">
        <f>VLOOKUP(appointments7[[#This Row],[Patient_ID]],Billing!$A:$G,7,FALSE)</f>
        <v>Pending</v>
      </c>
      <c r="AB99" s="2"/>
      <c r="AC99" s="2"/>
    </row>
    <row r="100" spans="1:29" x14ac:dyDescent="0.4">
      <c r="A100" s="51" t="s">
        <v>167</v>
      </c>
      <c r="B100" s="51" t="s">
        <v>168</v>
      </c>
      <c r="C100" s="51" t="s">
        <v>905</v>
      </c>
      <c r="D100" s="51" t="str">
        <f>VLOOKUP(appointments7[[#This Row],[Patient_ID]],Patients!$A:$K,4,FALSE)</f>
        <v>F</v>
      </c>
      <c r="E100" s="52">
        <f>VLOOKUP(appointments7[[#This Row],[Patient_ID]],Patients!$A:$K,5,FALSE)</f>
        <v>24445</v>
      </c>
      <c r="F100" s="51">
        <f>VLOOKUP(appointments7[[#This Row],[Patient_ID]],Patients!$A:$K,6,FALSE)</f>
        <v>8990604070</v>
      </c>
      <c r="G100" s="51" t="str">
        <f>VLOOKUP(appointments7[[#This Row],[Patient_ID]],Patients!$A:$K,7,FALSE)</f>
        <v>789 Pine Rd</v>
      </c>
      <c r="H100" s="52">
        <f>VLOOKUP(appointments7[[#This Row],[Patient_ID]],Patients!$A:$K,8,FALSE)</f>
        <v>44831</v>
      </c>
      <c r="I100" s="51" t="str">
        <f>VLOOKUP(appointments7[[#This Row],[Patient_ID]],Patients!$A:$K,11,FALSE)</f>
        <v>emily.jones@mail.com</v>
      </c>
      <c r="J100" s="51" t="s">
        <v>32</v>
      </c>
      <c r="K100" s="51" t="s">
        <v>911</v>
      </c>
      <c r="L100" s="51" t="str">
        <f>VLOOKUP(appointments7[[#This Row],[Doctor_ID]],Doctors!$A:$H,4,FALSE)</f>
        <v>Oncology</v>
      </c>
      <c r="M100" s="51">
        <f>VLOOKUP(appointments7[[#This Row],[Doctor_ID]],Doctors!$A:$H,5,FALSE)</f>
        <v>8217493115</v>
      </c>
      <c r="N100" s="51" t="str">
        <f>VLOOKUP(appointments7[[#This Row],[Doctor_ID]],Doctors!$A:$H,7,FALSE)</f>
        <v>Westside Clinic</v>
      </c>
      <c r="O100" s="52">
        <v>45111</v>
      </c>
      <c r="P100" s="53">
        <v>0.625</v>
      </c>
      <c r="Q100" s="51" t="s">
        <v>29</v>
      </c>
      <c r="R100" s="51" t="s">
        <v>41</v>
      </c>
      <c r="S100" s="51" t="str">
        <f>VLOOKUP(appointments7[[#This Row],[Appointment_ID]],Treatments!$A:$F,2,FALSE)</f>
        <v>T099</v>
      </c>
      <c r="T100" s="51" t="str">
        <f>VLOOKUP(appointments7[[#This Row],[Appointment_ID]],Treatments!$A:$F,3,FALSE)</f>
        <v>MRI</v>
      </c>
      <c r="U100" s="54">
        <f>VLOOKUP(treatments[[#This Row],[appointment_id]],Treatments!$A:$F,5,FALSE)</f>
        <v>4101.6000000000004</v>
      </c>
      <c r="V100" s="52">
        <f>VLOOKUP(appointments7[[#This Row],[Appointment_ID]],Treatments!$A:$F,6,FALSE)</f>
        <v>45111</v>
      </c>
      <c r="W100" s="52" t="str">
        <f>VLOOKUP(appointments7[[#This Row],[Patient_ID]],Billing!$A:$G,2,FALSE)</f>
        <v>B099</v>
      </c>
      <c r="X100" s="52">
        <f>VLOOKUP(appointments7[[#This Row],[Patient_ID]],Billing!$A:$H,4,FALSE)</f>
        <v>45111</v>
      </c>
      <c r="Y100" s="54">
        <f>VLOOKUP(appointments7[[#This Row],[Patient_ID]],Billing!$A:$G,5,FALSE)</f>
        <v>4101.6000000000004</v>
      </c>
      <c r="Z100" s="54" t="str">
        <f>VLOOKUP(appointments7[[#This Row],[Patient_ID]],Billing!$A:$G,6,FALSE)</f>
        <v>Credit Card</v>
      </c>
      <c r="AA100" s="52" t="str">
        <f>VLOOKUP(appointments7[[#This Row],[Patient_ID]],Billing!$A:$G,7,FALSE)</f>
        <v>Pending</v>
      </c>
      <c r="AB100" s="2"/>
      <c r="AC100" s="2"/>
    </row>
    <row r="101" spans="1:29" x14ac:dyDescent="0.4">
      <c r="A101" s="51" t="s">
        <v>169</v>
      </c>
      <c r="B101" s="51" t="s">
        <v>45</v>
      </c>
      <c r="C101" s="51" t="s">
        <v>881</v>
      </c>
      <c r="D101" s="51" t="str">
        <f>VLOOKUP(appointments7[[#This Row],[Patient_ID]],Patients!$A:$K,4,FALSE)</f>
        <v>M</v>
      </c>
      <c r="E101" s="52">
        <f>VLOOKUP(appointments7[[#This Row],[Patient_ID]],Patients!$A:$K,5,FALSE)</f>
        <v>38487</v>
      </c>
      <c r="F101" s="51">
        <f>VLOOKUP(appointments7[[#This Row],[Patient_ID]],Patients!$A:$K,6,FALSE)</f>
        <v>8923607677</v>
      </c>
      <c r="G101" s="51" t="str">
        <f>VLOOKUP(appointments7[[#This Row],[Patient_ID]],Patients!$A:$K,7,FALSE)</f>
        <v>789 Pine Rd</v>
      </c>
      <c r="H101" s="52">
        <f>VLOOKUP(appointments7[[#This Row],[Patient_ID]],Patients!$A:$K,8,FALSE)</f>
        <v>45035</v>
      </c>
      <c r="I101" s="51" t="str">
        <f>VLOOKUP(appointments7[[#This Row],[Patient_ID]],Patients!$A:$K,11,FALSE)</f>
        <v>david.smith@mail.com</v>
      </c>
      <c r="J101" s="51" t="s">
        <v>22</v>
      </c>
      <c r="K101" s="51" t="s">
        <v>910</v>
      </c>
      <c r="L101" s="51" t="str">
        <f>VLOOKUP(appointments7[[#This Row],[Doctor_ID]],Doctors!$A:$H,4,FALSE)</f>
        <v>Pediatrics</v>
      </c>
      <c r="M101" s="51">
        <f>VLOOKUP(appointments7[[#This Row],[Doctor_ID]],Doctors!$A:$H,5,FALSE)</f>
        <v>6570137231</v>
      </c>
      <c r="N101" s="51" t="str">
        <f>VLOOKUP(appointments7[[#This Row],[Doctor_ID]],Doctors!$A:$H,7,FALSE)</f>
        <v>Central Hospital</v>
      </c>
      <c r="O101" s="52">
        <v>44987</v>
      </c>
      <c r="P101" s="53">
        <v>0.33333333333333326</v>
      </c>
      <c r="Q101" s="51" t="s">
        <v>26</v>
      </c>
      <c r="R101" s="51" t="s">
        <v>11</v>
      </c>
      <c r="S101" s="51" t="str">
        <f>VLOOKUP(appointments7[[#This Row],[Appointment_ID]],Treatments!$A:$F,2,FALSE)</f>
        <v>T100</v>
      </c>
      <c r="T101" s="51" t="str">
        <f>VLOOKUP(appointments7[[#This Row],[Appointment_ID]],Treatments!$A:$F,3,FALSE)</f>
        <v>Physiotherapy</v>
      </c>
      <c r="U101" s="54">
        <f>VLOOKUP(treatments[[#This Row],[appointment_id]],Treatments!$A:$F,5,FALSE)</f>
        <v>1551.7</v>
      </c>
      <c r="V101" s="52">
        <f>VLOOKUP(appointments7[[#This Row],[Appointment_ID]],Treatments!$A:$F,6,FALSE)</f>
        <v>44987</v>
      </c>
      <c r="W101" s="52" t="str">
        <f>VLOOKUP(appointments7[[#This Row],[Patient_ID]],Billing!$A:$G,2,FALSE)</f>
        <v>B012</v>
      </c>
      <c r="X101" s="52">
        <f>VLOOKUP(appointments7[[#This Row],[Patient_ID]],Billing!$A:$H,4,FALSE)</f>
        <v>45053</v>
      </c>
      <c r="Y101" s="54">
        <f>VLOOKUP(appointments7[[#This Row],[Patient_ID]],Billing!$A:$G,5,FALSE)</f>
        <v>771.2</v>
      </c>
      <c r="Z101" s="54" t="str">
        <f>VLOOKUP(appointments7[[#This Row],[Patient_ID]],Billing!$A:$G,6,FALSE)</f>
        <v>Insurance</v>
      </c>
      <c r="AA101" s="52" t="str">
        <f>VLOOKUP(appointments7[[#This Row],[Patient_ID]],Billing!$A:$G,7,FALSE)</f>
        <v>Pending</v>
      </c>
      <c r="AB101" s="2"/>
      <c r="AC101" s="2"/>
    </row>
    <row r="102" spans="1:29" x14ac:dyDescent="0.4">
      <c r="A102" s="51" t="s">
        <v>170</v>
      </c>
      <c r="B102" s="51" t="s">
        <v>84</v>
      </c>
      <c r="C102" s="51" t="s">
        <v>890</v>
      </c>
      <c r="D102" s="51" t="str">
        <f>VLOOKUP(appointments7[[#This Row],[Patient_ID]],Patients!$A:$K,4,FALSE)</f>
        <v>M</v>
      </c>
      <c r="E102" s="52">
        <f>VLOOKUP(appointments7[[#This Row],[Patient_ID]],Patients!$A:$K,5,FALSE)</f>
        <v>35790</v>
      </c>
      <c r="F102" s="51">
        <f>VLOOKUP(appointments7[[#This Row],[Patient_ID]],Patients!$A:$K,6,FALSE)</f>
        <v>8545613046</v>
      </c>
      <c r="G102" s="51" t="str">
        <f>VLOOKUP(appointments7[[#This Row],[Patient_ID]],Patients!$A:$K,7,FALSE)</f>
        <v>123 Elm St</v>
      </c>
      <c r="H102" s="52">
        <f>VLOOKUP(appointments7[[#This Row],[Patient_ID]],Patients!$A:$K,8,FALSE)</f>
        <v>44838</v>
      </c>
      <c r="I102" s="51" t="str">
        <f>VLOOKUP(appointments7[[#This Row],[Patient_ID]],Patients!$A:$K,11,FALSE)</f>
        <v>michael.wilson@mail.com</v>
      </c>
      <c r="J102" s="51" t="s">
        <v>59</v>
      </c>
      <c r="K102" s="51" t="s">
        <v>914</v>
      </c>
      <c r="L102" s="51" t="str">
        <f>VLOOKUP(appointments7[[#This Row],[Doctor_ID]],Doctors!$A:$H,4,FALSE)</f>
        <v>Dermatology</v>
      </c>
      <c r="M102" s="51">
        <f>VLOOKUP(appointments7[[#This Row],[Doctor_ID]],Doctors!$A:$H,5,FALSE)</f>
        <v>8322010158</v>
      </c>
      <c r="N102" s="51" t="str">
        <f>VLOOKUP(appointments7[[#This Row],[Doctor_ID]],Doctors!$A:$H,7,FALSE)</f>
        <v>Westside Clinic</v>
      </c>
      <c r="O102" s="52">
        <v>45190</v>
      </c>
      <c r="P102" s="53">
        <v>0.55208333333333326</v>
      </c>
      <c r="Q102" s="51" t="s">
        <v>10</v>
      </c>
      <c r="R102" s="51" t="s">
        <v>11</v>
      </c>
      <c r="S102" s="51" t="str">
        <f>VLOOKUP(appointments7[[#This Row],[Appointment_ID]],Treatments!$A:$F,2,FALSE)</f>
        <v>T101</v>
      </c>
      <c r="T102" s="51" t="str">
        <f>VLOOKUP(appointments7[[#This Row],[Appointment_ID]],Treatments!$A:$F,3,FALSE)</f>
        <v>MRI</v>
      </c>
      <c r="U102" s="54">
        <f>VLOOKUP(treatments[[#This Row],[appointment_id]],Treatments!$A:$F,5,FALSE)</f>
        <v>2930.05</v>
      </c>
      <c r="V102" s="52">
        <f>VLOOKUP(appointments7[[#This Row],[Appointment_ID]],Treatments!$A:$F,6,FALSE)</f>
        <v>45190</v>
      </c>
      <c r="W102" s="52" t="str">
        <f>VLOOKUP(appointments7[[#This Row],[Patient_ID]],Billing!$A:$G,2,FALSE)</f>
        <v>B035</v>
      </c>
      <c r="X102" s="52">
        <f>VLOOKUP(appointments7[[#This Row],[Patient_ID]],Billing!$A:$H,4,FALSE)</f>
        <v>45034</v>
      </c>
      <c r="Y102" s="54">
        <f>VLOOKUP(appointments7[[#This Row],[Patient_ID]],Billing!$A:$G,5,FALSE)</f>
        <v>1654.53</v>
      </c>
      <c r="Z102" s="54" t="str">
        <f>VLOOKUP(appointments7[[#This Row],[Patient_ID]],Billing!$A:$G,6,FALSE)</f>
        <v>Insurance</v>
      </c>
      <c r="AA102" s="52" t="str">
        <f>VLOOKUP(appointments7[[#This Row],[Patient_ID]],Billing!$A:$G,7,FALSE)</f>
        <v>Failed</v>
      </c>
      <c r="AB102" s="2"/>
      <c r="AC102" s="2"/>
    </row>
    <row r="103" spans="1:29" x14ac:dyDescent="0.4">
      <c r="A103" s="51" t="s">
        <v>171</v>
      </c>
      <c r="B103" s="51" t="s">
        <v>21</v>
      </c>
      <c r="C103" s="51" t="s">
        <v>873</v>
      </c>
      <c r="D103" s="51" t="str">
        <f>VLOOKUP(appointments7[[#This Row],[Patient_ID]],Patients!$A:$K,4,FALSE)</f>
        <v>M</v>
      </c>
      <c r="E103" s="52">
        <f>VLOOKUP(appointments7[[#This Row],[Patient_ID]],Patients!$A:$K,5,FALSE)</f>
        <v>24333</v>
      </c>
      <c r="F103" s="51">
        <f>VLOOKUP(appointments7[[#This Row],[Patient_ID]],Patients!$A:$K,6,FALSE)</f>
        <v>7482069727</v>
      </c>
      <c r="G103" s="51" t="str">
        <f>VLOOKUP(appointments7[[#This Row],[Patient_ID]],Patients!$A:$K,7,FALSE)</f>
        <v>123 Elm St</v>
      </c>
      <c r="H103" s="52">
        <f>VLOOKUP(appointments7[[#This Row],[Patient_ID]],Patients!$A:$K,8,FALSE)</f>
        <v>44448</v>
      </c>
      <c r="I103" s="51" t="str">
        <f>VLOOKUP(appointments7[[#This Row],[Patient_ID]],Patients!$A:$K,11,FALSE)</f>
        <v>robert.wilson@mail.com</v>
      </c>
      <c r="J103" s="51" t="s">
        <v>74</v>
      </c>
      <c r="K103" s="51" t="s">
        <v>915</v>
      </c>
      <c r="L103" s="51" t="str">
        <f>VLOOKUP(appointments7[[#This Row],[Doctor_ID]],Doctors!$A:$H,4,FALSE)</f>
        <v>Dermatology</v>
      </c>
      <c r="M103" s="51">
        <f>VLOOKUP(appointments7[[#This Row],[Doctor_ID]],Doctors!$A:$H,5,FALSE)</f>
        <v>9118538547</v>
      </c>
      <c r="N103" s="51" t="str">
        <f>VLOOKUP(appointments7[[#This Row],[Doctor_ID]],Doctors!$A:$H,7,FALSE)</f>
        <v>Central Hospital</v>
      </c>
      <c r="O103" s="52">
        <v>45224</v>
      </c>
      <c r="P103" s="53">
        <v>0.375</v>
      </c>
      <c r="Q103" s="51" t="s">
        <v>29</v>
      </c>
      <c r="R103" s="51" t="s">
        <v>15</v>
      </c>
      <c r="S103" s="51" t="str">
        <f>VLOOKUP(appointments7[[#This Row],[Appointment_ID]],Treatments!$A:$F,2,FALSE)</f>
        <v>T102</v>
      </c>
      <c r="T103" s="51" t="str">
        <f>VLOOKUP(appointments7[[#This Row],[Appointment_ID]],Treatments!$A:$F,3,FALSE)</f>
        <v>MRI</v>
      </c>
      <c r="U103" s="54">
        <f>VLOOKUP(treatments[[#This Row],[appointment_id]],Treatments!$A:$F,5,FALSE)</f>
        <v>4460.3599999999997</v>
      </c>
      <c r="V103" s="52">
        <f>VLOOKUP(appointments7[[#This Row],[Appointment_ID]],Treatments!$A:$F,6,FALSE)</f>
        <v>45224</v>
      </c>
      <c r="W103" s="52" t="str">
        <f>VLOOKUP(appointments7[[#This Row],[Patient_ID]],Billing!$A:$G,2,FALSE)</f>
        <v>B004</v>
      </c>
      <c r="X103" s="52">
        <f>VLOOKUP(appointments7[[#This Row],[Patient_ID]],Billing!$A:$H,4,FALSE)</f>
        <v>45170</v>
      </c>
      <c r="Y103" s="54">
        <f>VLOOKUP(appointments7[[#This Row],[Patient_ID]],Billing!$A:$G,5,FALSE)</f>
        <v>4799.8599999999997</v>
      </c>
      <c r="Z103" s="54" t="str">
        <f>VLOOKUP(appointments7[[#This Row],[Patient_ID]],Billing!$A:$G,6,FALSE)</f>
        <v>Insurance</v>
      </c>
      <c r="AA103" s="52" t="str">
        <f>VLOOKUP(appointments7[[#This Row],[Patient_ID]],Billing!$A:$G,7,FALSE)</f>
        <v>Failed</v>
      </c>
      <c r="AB103" s="2"/>
      <c r="AC103" s="2"/>
    </row>
    <row r="104" spans="1:29" x14ac:dyDescent="0.4">
      <c r="A104" s="51" t="s">
        <v>172</v>
      </c>
      <c r="B104" s="51" t="s">
        <v>81</v>
      </c>
      <c r="C104" s="51" t="s">
        <v>890</v>
      </c>
      <c r="D104" s="51" t="str">
        <f>VLOOKUP(appointments7[[#This Row],[Patient_ID]],Patients!$A:$K,4,FALSE)</f>
        <v>M</v>
      </c>
      <c r="E104" s="52">
        <f>VLOOKUP(appointments7[[#This Row],[Patient_ID]],Patients!$A:$K,5,FALSE)</f>
        <v>37316</v>
      </c>
      <c r="F104" s="51">
        <f>VLOOKUP(appointments7[[#This Row],[Patient_ID]],Patients!$A:$K,6,FALSE)</f>
        <v>7765390555</v>
      </c>
      <c r="G104" s="51" t="str">
        <f>VLOOKUP(appointments7[[#This Row],[Patient_ID]],Patients!$A:$K,7,FALSE)</f>
        <v>321 Maple Dr</v>
      </c>
      <c r="H104" s="52">
        <f>VLOOKUP(appointments7[[#This Row],[Patient_ID]],Patients!$A:$K,8,FALSE)</f>
        <v>44580</v>
      </c>
      <c r="I104" s="51" t="str">
        <f>VLOOKUP(appointments7[[#This Row],[Patient_ID]],Patients!$A:$K,11,FALSE)</f>
        <v>michael.wilson@mail.com</v>
      </c>
      <c r="J104" s="51" t="s">
        <v>74</v>
      </c>
      <c r="K104" s="51" t="s">
        <v>915</v>
      </c>
      <c r="L104" s="51" t="str">
        <f>VLOOKUP(appointments7[[#This Row],[Doctor_ID]],Doctors!$A:$H,4,FALSE)</f>
        <v>Dermatology</v>
      </c>
      <c r="M104" s="51">
        <f>VLOOKUP(appointments7[[#This Row],[Doctor_ID]],Doctors!$A:$H,5,FALSE)</f>
        <v>9118538547</v>
      </c>
      <c r="N104" s="51" t="str">
        <f>VLOOKUP(appointments7[[#This Row],[Doctor_ID]],Doctors!$A:$H,7,FALSE)</f>
        <v>Central Hospital</v>
      </c>
      <c r="O104" s="52">
        <v>44950</v>
      </c>
      <c r="P104" s="53">
        <v>0.35416666666666674</v>
      </c>
      <c r="Q104" s="51" t="s">
        <v>10</v>
      </c>
      <c r="R104" s="51" t="s">
        <v>19</v>
      </c>
      <c r="S104" s="51" t="str">
        <f>VLOOKUP(appointments7[[#This Row],[Appointment_ID]],Treatments!$A:$F,2,FALSE)</f>
        <v>T103</v>
      </c>
      <c r="T104" s="51" t="str">
        <f>VLOOKUP(appointments7[[#This Row],[Appointment_ID]],Treatments!$A:$F,3,FALSE)</f>
        <v>ECG</v>
      </c>
      <c r="U104" s="54">
        <f>VLOOKUP(treatments[[#This Row],[appointment_id]],Treatments!$A:$F,5,FALSE)</f>
        <v>3428.95</v>
      </c>
      <c r="V104" s="52">
        <f>VLOOKUP(appointments7[[#This Row],[Appointment_ID]],Treatments!$A:$F,6,FALSE)</f>
        <v>44950</v>
      </c>
      <c r="W104" s="52" t="str">
        <f>VLOOKUP(appointments7[[#This Row],[Patient_ID]],Billing!$A:$G,2,FALSE)</f>
        <v>B033</v>
      </c>
      <c r="X104" s="52">
        <f>VLOOKUP(appointments7[[#This Row],[Patient_ID]],Billing!$A:$H,4,FALSE)</f>
        <v>45192</v>
      </c>
      <c r="Y104" s="54">
        <f>VLOOKUP(appointments7[[#This Row],[Patient_ID]],Billing!$A:$G,5,FALSE)</f>
        <v>980.95</v>
      </c>
      <c r="Z104" s="54" t="str">
        <f>VLOOKUP(appointments7[[#This Row],[Patient_ID]],Billing!$A:$G,6,FALSE)</f>
        <v>Credit Card</v>
      </c>
      <c r="AA104" s="52" t="str">
        <f>VLOOKUP(appointments7[[#This Row],[Patient_ID]],Billing!$A:$G,7,FALSE)</f>
        <v>Paid</v>
      </c>
      <c r="AB104" s="2"/>
      <c r="AC104" s="2"/>
    </row>
    <row r="105" spans="1:29" x14ac:dyDescent="0.4">
      <c r="A105" s="51" t="s">
        <v>173</v>
      </c>
      <c r="B105" s="51" t="s">
        <v>84</v>
      </c>
      <c r="C105" s="51" t="s">
        <v>890</v>
      </c>
      <c r="D105" s="51" t="str">
        <f>VLOOKUP(appointments7[[#This Row],[Patient_ID]],Patients!$A:$K,4,FALSE)</f>
        <v>M</v>
      </c>
      <c r="E105" s="52">
        <f>VLOOKUP(appointments7[[#This Row],[Patient_ID]],Patients!$A:$K,5,FALSE)</f>
        <v>35790</v>
      </c>
      <c r="F105" s="51">
        <f>VLOOKUP(appointments7[[#This Row],[Patient_ID]],Patients!$A:$K,6,FALSE)</f>
        <v>8545613046</v>
      </c>
      <c r="G105" s="51" t="str">
        <f>VLOOKUP(appointments7[[#This Row],[Patient_ID]],Patients!$A:$K,7,FALSE)</f>
        <v>123 Elm St</v>
      </c>
      <c r="H105" s="52">
        <f>VLOOKUP(appointments7[[#This Row],[Patient_ID]],Patients!$A:$K,8,FALSE)</f>
        <v>44838</v>
      </c>
      <c r="I105" s="51" t="str">
        <f>VLOOKUP(appointments7[[#This Row],[Patient_ID]],Patients!$A:$K,11,FALSE)</f>
        <v>michael.wilson@mail.com</v>
      </c>
      <c r="J105" s="51" t="s">
        <v>22</v>
      </c>
      <c r="K105" s="51" t="s">
        <v>910</v>
      </c>
      <c r="L105" s="51" t="str">
        <f>VLOOKUP(appointments7[[#This Row],[Doctor_ID]],Doctors!$A:$H,4,FALSE)</f>
        <v>Pediatrics</v>
      </c>
      <c r="M105" s="51">
        <f>VLOOKUP(appointments7[[#This Row],[Doctor_ID]],Doctors!$A:$H,5,FALSE)</f>
        <v>6570137231</v>
      </c>
      <c r="N105" s="51" t="str">
        <f>VLOOKUP(appointments7[[#This Row],[Doctor_ID]],Doctors!$A:$H,7,FALSE)</f>
        <v>Central Hospital</v>
      </c>
      <c r="O105" s="52">
        <v>45034</v>
      </c>
      <c r="P105" s="53">
        <v>0.36458333333333326</v>
      </c>
      <c r="Q105" s="51" t="s">
        <v>38</v>
      </c>
      <c r="R105" s="51" t="s">
        <v>41</v>
      </c>
      <c r="S105" s="51" t="str">
        <f>VLOOKUP(appointments7[[#This Row],[Appointment_ID]],Treatments!$A:$F,2,FALSE)</f>
        <v>T104</v>
      </c>
      <c r="T105" s="51" t="str">
        <f>VLOOKUP(appointments7[[#This Row],[Appointment_ID]],Treatments!$A:$F,3,FALSE)</f>
        <v>ECG</v>
      </c>
      <c r="U105" s="54">
        <f>VLOOKUP(treatments[[#This Row],[appointment_id]],Treatments!$A:$F,5,FALSE)</f>
        <v>2898.31</v>
      </c>
      <c r="V105" s="52">
        <f>VLOOKUP(appointments7[[#This Row],[Appointment_ID]],Treatments!$A:$F,6,FALSE)</f>
        <v>45034</v>
      </c>
      <c r="W105" s="52" t="str">
        <f>VLOOKUP(appointments7[[#This Row],[Patient_ID]],Billing!$A:$G,2,FALSE)</f>
        <v>B035</v>
      </c>
      <c r="X105" s="52">
        <f>VLOOKUP(appointments7[[#This Row],[Patient_ID]],Billing!$A:$H,4,FALSE)</f>
        <v>45034</v>
      </c>
      <c r="Y105" s="54">
        <f>VLOOKUP(appointments7[[#This Row],[Patient_ID]],Billing!$A:$G,5,FALSE)</f>
        <v>1654.53</v>
      </c>
      <c r="Z105" s="54" t="str">
        <f>VLOOKUP(appointments7[[#This Row],[Patient_ID]],Billing!$A:$G,6,FALSE)</f>
        <v>Insurance</v>
      </c>
      <c r="AA105" s="52" t="str">
        <f>VLOOKUP(appointments7[[#This Row],[Patient_ID]],Billing!$A:$G,7,FALSE)</f>
        <v>Failed</v>
      </c>
      <c r="AB105" s="2"/>
      <c r="AC105" s="2"/>
    </row>
    <row r="106" spans="1:29" x14ac:dyDescent="0.4">
      <c r="A106" s="51" t="s">
        <v>174</v>
      </c>
      <c r="B106" s="51" t="s">
        <v>92</v>
      </c>
      <c r="C106" s="51" t="s">
        <v>877</v>
      </c>
      <c r="D106" s="51" t="str">
        <f>VLOOKUP(appointments7[[#This Row],[Patient_ID]],Patients!$A:$K,4,FALSE)</f>
        <v>M</v>
      </c>
      <c r="E106" s="52">
        <f>VLOOKUP(appointments7[[#This Row],[Patient_ID]],Patients!$A:$K,5,FALSE)</f>
        <v>37177</v>
      </c>
      <c r="F106" s="51">
        <f>VLOOKUP(appointments7[[#This Row],[Patient_ID]],Patients!$A:$K,6,FALSE)</f>
        <v>7081396733</v>
      </c>
      <c r="G106" s="51" t="str">
        <f>VLOOKUP(appointments7[[#This Row],[Patient_ID]],Patients!$A:$K,7,FALSE)</f>
        <v>123 Elm St</v>
      </c>
      <c r="H106" s="52">
        <f>VLOOKUP(appointments7[[#This Row],[Patient_ID]],Patients!$A:$K,8,FALSE)</f>
        <v>44797</v>
      </c>
      <c r="I106" s="51" t="str">
        <f>VLOOKUP(appointments7[[#This Row],[Patient_ID]],Patients!$A:$K,11,FALSE)</f>
        <v>michael.taylor@mail.com</v>
      </c>
      <c r="J106" s="51" t="s">
        <v>25</v>
      </c>
      <c r="K106" s="51" t="s">
        <v>906</v>
      </c>
      <c r="L106" s="51" t="str">
        <f>VLOOKUP(appointments7[[#This Row],[Doctor_ID]],Doctors!$A:$H,4,FALSE)</f>
        <v>Pediatrics</v>
      </c>
      <c r="M106" s="51">
        <f>VLOOKUP(appointments7[[#This Row],[Doctor_ID]],Doctors!$A:$H,5,FALSE)</f>
        <v>8737740598</v>
      </c>
      <c r="N106" s="51" t="str">
        <f>VLOOKUP(appointments7[[#This Row],[Doctor_ID]],Doctors!$A:$H,7,FALSE)</f>
        <v>Eastside Clinic</v>
      </c>
      <c r="O106" s="52">
        <v>45152</v>
      </c>
      <c r="P106" s="53">
        <v>0.66666666666666674</v>
      </c>
      <c r="Q106" s="51" t="s">
        <v>29</v>
      </c>
      <c r="R106" s="51" t="s">
        <v>15</v>
      </c>
      <c r="S106" s="51" t="str">
        <f>VLOOKUP(appointments7[[#This Row],[Appointment_ID]],Treatments!$A:$F,2,FALSE)</f>
        <v>T105</v>
      </c>
      <c r="T106" s="51" t="str">
        <f>VLOOKUP(appointments7[[#This Row],[Appointment_ID]],Treatments!$A:$F,3,FALSE)</f>
        <v>ECG</v>
      </c>
      <c r="U106" s="54">
        <f>VLOOKUP(treatments[[#This Row],[appointment_id]],Treatments!$A:$F,5,FALSE)</f>
        <v>1959.5</v>
      </c>
      <c r="V106" s="52">
        <f>VLOOKUP(appointments7[[#This Row],[Appointment_ID]],Treatments!$A:$F,6,FALSE)</f>
        <v>45152</v>
      </c>
      <c r="W106" s="52" t="str">
        <f>VLOOKUP(appointments7[[#This Row],[Patient_ID]],Billing!$A:$G,2,FALSE)</f>
        <v>B040</v>
      </c>
      <c r="X106" s="52">
        <f>VLOOKUP(appointments7[[#This Row],[Patient_ID]],Billing!$A:$H,4,FALSE)</f>
        <v>45012</v>
      </c>
      <c r="Y106" s="54">
        <f>VLOOKUP(appointments7[[#This Row],[Patient_ID]],Billing!$A:$G,5,FALSE)</f>
        <v>695.36</v>
      </c>
      <c r="Z106" s="54" t="str">
        <f>VLOOKUP(appointments7[[#This Row],[Patient_ID]],Billing!$A:$G,6,FALSE)</f>
        <v>Cash</v>
      </c>
      <c r="AA106" s="52" t="str">
        <f>VLOOKUP(appointments7[[#This Row],[Patient_ID]],Billing!$A:$G,7,FALSE)</f>
        <v>Failed</v>
      </c>
      <c r="AB106" s="2"/>
      <c r="AC106" s="2"/>
    </row>
    <row r="107" spans="1:29" x14ac:dyDescent="0.4">
      <c r="A107" s="51" t="s">
        <v>175</v>
      </c>
      <c r="B107" s="51" t="s">
        <v>56</v>
      </c>
      <c r="C107" s="51" t="s">
        <v>885</v>
      </c>
      <c r="D107" s="51" t="str">
        <f>VLOOKUP(appointments7[[#This Row],[Patient_ID]],Patients!$A:$K,4,FALSE)</f>
        <v>M</v>
      </c>
      <c r="E107" s="52">
        <f>VLOOKUP(appointments7[[#This Row],[Patient_ID]],Patients!$A:$K,5,FALSE)</f>
        <v>36196</v>
      </c>
      <c r="F107" s="51">
        <f>VLOOKUP(appointments7[[#This Row],[Patient_ID]],Patients!$A:$K,6,FALSE)</f>
        <v>8886800195</v>
      </c>
      <c r="G107" s="51" t="str">
        <f>VLOOKUP(appointments7[[#This Row],[Patient_ID]],Patients!$A:$K,7,FALSE)</f>
        <v>456 Oak Ave</v>
      </c>
      <c r="H107" s="52">
        <f>VLOOKUP(appointments7[[#This Row],[Patient_ID]],Patients!$A:$K,8,FALSE)</f>
        <v>44469</v>
      </c>
      <c r="I107" s="51" t="str">
        <f>VLOOKUP(appointments7[[#This Row],[Patient_ID]],Patients!$A:$K,11,FALSE)</f>
        <v>robert.williams@mail.com</v>
      </c>
      <c r="J107" s="51" t="s">
        <v>74</v>
      </c>
      <c r="K107" s="51" t="s">
        <v>915</v>
      </c>
      <c r="L107" s="51" t="str">
        <f>VLOOKUP(appointments7[[#This Row],[Doctor_ID]],Doctors!$A:$H,4,FALSE)</f>
        <v>Dermatology</v>
      </c>
      <c r="M107" s="51">
        <f>VLOOKUP(appointments7[[#This Row],[Doctor_ID]],Doctors!$A:$H,5,FALSE)</f>
        <v>9118538547</v>
      </c>
      <c r="N107" s="51" t="str">
        <f>VLOOKUP(appointments7[[#This Row],[Doctor_ID]],Doctors!$A:$H,7,FALSE)</f>
        <v>Central Hospital</v>
      </c>
      <c r="O107" s="52">
        <v>45228</v>
      </c>
      <c r="P107" s="53">
        <v>0.46875</v>
      </c>
      <c r="Q107" s="51" t="s">
        <v>10</v>
      </c>
      <c r="R107" s="51" t="s">
        <v>11</v>
      </c>
      <c r="S107" s="51" t="str">
        <f>VLOOKUP(appointments7[[#This Row],[Appointment_ID]],Treatments!$A:$F,2,FALSE)</f>
        <v>T106</v>
      </c>
      <c r="T107" s="51" t="str">
        <f>VLOOKUP(appointments7[[#This Row],[Appointment_ID]],Treatments!$A:$F,3,FALSE)</f>
        <v>X-Ray</v>
      </c>
      <c r="U107" s="54">
        <f>VLOOKUP(treatments[[#This Row],[appointment_id]],Treatments!$A:$F,5,FALSE)</f>
        <v>1998.51</v>
      </c>
      <c r="V107" s="52">
        <f>VLOOKUP(appointments7[[#This Row],[Appointment_ID]],Treatments!$A:$F,6,FALSE)</f>
        <v>45228</v>
      </c>
      <c r="W107" s="52" t="str">
        <f>VLOOKUP(appointments7[[#This Row],[Patient_ID]],Billing!$A:$G,2,FALSE)</f>
        <v>B017</v>
      </c>
      <c r="X107" s="52">
        <f>VLOOKUP(appointments7[[#This Row],[Patient_ID]],Billing!$A:$H,4,FALSE)</f>
        <v>45118</v>
      </c>
      <c r="Y107" s="54">
        <f>VLOOKUP(appointments7[[#This Row],[Patient_ID]],Billing!$A:$G,5,FALSE)</f>
        <v>1655.49</v>
      </c>
      <c r="Z107" s="54" t="str">
        <f>VLOOKUP(appointments7[[#This Row],[Patient_ID]],Billing!$A:$G,6,FALSE)</f>
        <v>Credit Card</v>
      </c>
      <c r="AA107" s="52" t="str">
        <f>VLOOKUP(appointments7[[#This Row],[Patient_ID]],Billing!$A:$G,7,FALSE)</f>
        <v>Pending</v>
      </c>
      <c r="AB107" s="2"/>
      <c r="AC107" s="2"/>
    </row>
    <row r="108" spans="1:29" x14ac:dyDescent="0.4">
      <c r="A108" s="51" t="s">
        <v>176</v>
      </c>
      <c r="B108" s="51" t="s">
        <v>177</v>
      </c>
      <c r="C108" s="51" t="s">
        <v>883</v>
      </c>
      <c r="D108" s="51" t="str">
        <f>VLOOKUP(appointments7[[#This Row],[Patient_ID]],Patients!$A:$K,4,FALSE)</f>
        <v>M</v>
      </c>
      <c r="E108" s="52">
        <f>VLOOKUP(appointments7[[#This Row],[Patient_ID]],Patients!$A:$K,5,FALSE)</f>
        <v>26278</v>
      </c>
      <c r="F108" s="51">
        <f>VLOOKUP(appointments7[[#This Row],[Patient_ID]],Patients!$A:$K,6,FALSE)</f>
        <v>7060324619</v>
      </c>
      <c r="G108" s="51" t="str">
        <f>VLOOKUP(appointments7[[#This Row],[Patient_ID]],Patients!$A:$K,7,FALSE)</f>
        <v>321 Maple Dr</v>
      </c>
      <c r="H108" s="52">
        <f>VLOOKUP(appointments7[[#This Row],[Patient_ID]],Patients!$A:$K,8,FALSE)</f>
        <v>44822</v>
      </c>
      <c r="I108" s="51" t="str">
        <f>VLOOKUP(appointments7[[#This Row],[Patient_ID]],Patients!$A:$K,11,FALSE)</f>
        <v>laura.davis@mail.com</v>
      </c>
      <c r="J108" s="51" t="s">
        <v>32</v>
      </c>
      <c r="K108" s="51" t="s">
        <v>911</v>
      </c>
      <c r="L108" s="51" t="str">
        <f>VLOOKUP(appointments7[[#This Row],[Doctor_ID]],Doctors!$A:$H,4,FALSE)</f>
        <v>Oncology</v>
      </c>
      <c r="M108" s="51">
        <f>VLOOKUP(appointments7[[#This Row],[Doctor_ID]],Doctors!$A:$H,5,FALSE)</f>
        <v>8217493115</v>
      </c>
      <c r="N108" s="51" t="str">
        <f>VLOOKUP(appointments7[[#This Row],[Doctor_ID]],Doctors!$A:$H,7,FALSE)</f>
        <v>Westside Clinic</v>
      </c>
      <c r="O108" s="52">
        <v>45033</v>
      </c>
      <c r="P108" s="53">
        <v>0.57291666666666674</v>
      </c>
      <c r="Q108" s="51" t="s">
        <v>38</v>
      </c>
      <c r="R108" s="51" t="s">
        <v>41</v>
      </c>
      <c r="S108" s="51" t="str">
        <f>VLOOKUP(appointments7[[#This Row],[Appointment_ID]],Treatments!$A:$F,2,FALSE)</f>
        <v>T107</v>
      </c>
      <c r="T108" s="51" t="str">
        <f>VLOOKUP(appointments7[[#This Row],[Appointment_ID]],Treatments!$A:$F,3,FALSE)</f>
        <v>Chemotherapy</v>
      </c>
      <c r="U108" s="54">
        <f>VLOOKUP(treatments[[#This Row],[appointment_id]],Treatments!$A:$F,5,FALSE)</f>
        <v>3512.69</v>
      </c>
      <c r="V108" s="52">
        <f>VLOOKUP(appointments7[[#This Row],[Appointment_ID]],Treatments!$A:$F,6,FALSE)</f>
        <v>45033</v>
      </c>
      <c r="W108" s="52" t="str">
        <f>VLOOKUP(appointments7[[#This Row],[Patient_ID]],Billing!$A:$G,2,FALSE)</f>
        <v>B107</v>
      </c>
      <c r="X108" s="52">
        <f>VLOOKUP(appointments7[[#This Row],[Patient_ID]],Billing!$A:$H,4,FALSE)</f>
        <v>45033</v>
      </c>
      <c r="Y108" s="54">
        <f>VLOOKUP(appointments7[[#This Row],[Patient_ID]],Billing!$A:$G,5,FALSE)</f>
        <v>3512.69</v>
      </c>
      <c r="Z108" s="54" t="str">
        <f>VLOOKUP(appointments7[[#This Row],[Patient_ID]],Billing!$A:$G,6,FALSE)</f>
        <v>Credit Card</v>
      </c>
      <c r="AA108" s="52" t="str">
        <f>VLOOKUP(appointments7[[#This Row],[Patient_ID]],Billing!$A:$G,7,FALSE)</f>
        <v>Pending</v>
      </c>
      <c r="AB108" s="2"/>
      <c r="AC108" s="2"/>
    </row>
    <row r="109" spans="1:29" x14ac:dyDescent="0.4">
      <c r="A109" s="51" t="s">
        <v>178</v>
      </c>
      <c r="B109" s="51" t="s">
        <v>109</v>
      </c>
      <c r="C109" s="51" t="s">
        <v>895</v>
      </c>
      <c r="D109" s="51" t="str">
        <f>VLOOKUP(appointments7[[#This Row],[Patient_ID]],Patients!$A:$K,4,FALSE)</f>
        <v>F</v>
      </c>
      <c r="E109" s="52">
        <f>VLOOKUP(appointments7[[#This Row],[Patient_ID]],Patients!$A:$K,5,FALSE)</f>
        <v>33546</v>
      </c>
      <c r="F109" s="51">
        <f>VLOOKUP(appointments7[[#This Row],[Patient_ID]],Patients!$A:$K,6,FALSE)</f>
        <v>7196777444</v>
      </c>
      <c r="G109" s="51" t="str">
        <f>VLOOKUP(appointments7[[#This Row],[Patient_ID]],Patients!$A:$K,7,FALSE)</f>
        <v>321 Maple Dr</v>
      </c>
      <c r="H109" s="52">
        <f>VLOOKUP(appointments7[[#This Row],[Patient_ID]],Patients!$A:$K,8,FALSE)</f>
        <v>44441</v>
      </c>
      <c r="I109" s="51" t="str">
        <f>VLOOKUP(appointments7[[#This Row],[Patient_ID]],Patients!$A:$K,11,FALSE)</f>
        <v>sarah.brown@mail.com</v>
      </c>
      <c r="J109" s="51" t="s">
        <v>74</v>
      </c>
      <c r="K109" s="51" t="s">
        <v>915</v>
      </c>
      <c r="L109" s="51" t="str">
        <f>VLOOKUP(appointments7[[#This Row],[Doctor_ID]],Doctors!$A:$H,4,FALSE)</f>
        <v>Dermatology</v>
      </c>
      <c r="M109" s="51">
        <f>VLOOKUP(appointments7[[#This Row],[Doctor_ID]],Doctors!$A:$H,5,FALSE)</f>
        <v>9118538547</v>
      </c>
      <c r="N109" s="51" t="str">
        <f>VLOOKUP(appointments7[[#This Row],[Doctor_ID]],Doctors!$A:$H,7,FALSE)</f>
        <v>Central Hospital</v>
      </c>
      <c r="O109" s="52">
        <v>45037</v>
      </c>
      <c r="P109" s="53">
        <v>0.625</v>
      </c>
      <c r="Q109" s="51" t="s">
        <v>26</v>
      </c>
      <c r="R109" s="51" t="s">
        <v>19</v>
      </c>
      <c r="S109" s="51" t="str">
        <f>VLOOKUP(appointments7[[#This Row],[Appointment_ID]],Treatments!$A:$F,2,FALSE)</f>
        <v>T108</v>
      </c>
      <c r="T109" s="51" t="str">
        <f>VLOOKUP(appointments7[[#This Row],[Appointment_ID]],Treatments!$A:$F,3,FALSE)</f>
        <v>X-Ray</v>
      </c>
      <c r="U109" s="54">
        <f>VLOOKUP(treatments[[#This Row],[appointment_id]],Treatments!$A:$F,5,FALSE)</f>
        <v>4973.63</v>
      </c>
      <c r="V109" s="52">
        <f>VLOOKUP(appointments7[[#This Row],[Appointment_ID]],Treatments!$A:$F,6,FALSE)</f>
        <v>45037</v>
      </c>
      <c r="W109" s="52" t="str">
        <f>VLOOKUP(appointments7[[#This Row],[Patient_ID]],Billing!$A:$G,2,FALSE)</f>
        <v>B053</v>
      </c>
      <c r="X109" s="52">
        <f>VLOOKUP(appointments7[[#This Row],[Patient_ID]],Billing!$A:$H,4,FALSE)</f>
        <v>44969</v>
      </c>
      <c r="Y109" s="54">
        <f>VLOOKUP(appointments7[[#This Row],[Patient_ID]],Billing!$A:$G,5,FALSE)</f>
        <v>1565.92</v>
      </c>
      <c r="Z109" s="54" t="str">
        <f>VLOOKUP(appointments7[[#This Row],[Patient_ID]],Billing!$A:$G,6,FALSE)</f>
        <v>Insurance</v>
      </c>
      <c r="AA109" s="52" t="str">
        <f>VLOOKUP(appointments7[[#This Row],[Patient_ID]],Billing!$A:$G,7,FALSE)</f>
        <v>Pending</v>
      </c>
      <c r="AB109" s="2"/>
      <c r="AC109" s="2"/>
    </row>
    <row r="110" spans="1:29" x14ac:dyDescent="0.4">
      <c r="A110" s="51" t="s">
        <v>179</v>
      </c>
      <c r="B110" s="51" t="s">
        <v>125</v>
      </c>
      <c r="C110" s="51" t="s">
        <v>879</v>
      </c>
      <c r="D110" s="51" t="str">
        <f>VLOOKUP(appointments7[[#This Row],[Patient_ID]],Patients!$A:$K,4,FALSE)</f>
        <v>F</v>
      </c>
      <c r="E110" s="52">
        <f>VLOOKUP(appointments7[[#This Row],[Patient_ID]],Patients!$A:$K,5,FALSE)</f>
        <v>34072</v>
      </c>
      <c r="F110" s="51">
        <f>VLOOKUP(appointments7[[#This Row],[Patient_ID]],Patients!$A:$K,6,FALSE)</f>
        <v>7039619487</v>
      </c>
      <c r="G110" s="51" t="str">
        <f>VLOOKUP(appointments7[[#This Row],[Patient_ID]],Patients!$A:$K,7,FALSE)</f>
        <v>123 Elm St</v>
      </c>
      <c r="H110" s="52">
        <f>VLOOKUP(appointments7[[#This Row],[Patient_ID]],Patients!$A:$K,8,FALSE)</f>
        <v>45116</v>
      </c>
      <c r="I110" s="51" t="str">
        <f>VLOOKUP(appointments7[[#This Row],[Patient_ID]],Patients!$A:$K,11,FALSE)</f>
        <v>david.wilson@mail.com</v>
      </c>
      <c r="J110" s="51" t="s">
        <v>74</v>
      </c>
      <c r="K110" s="51" t="s">
        <v>915</v>
      </c>
      <c r="L110" s="51" t="str">
        <f>VLOOKUP(appointments7[[#This Row],[Doctor_ID]],Doctors!$A:$H,4,FALSE)</f>
        <v>Dermatology</v>
      </c>
      <c r="M110" s="51">
        <f>VLOOKUP(appointments7[[#This Row],[Doctor_ID]],Doctors!$A:$H,5,FALSE)</f>
        <v>9118538547</v>
      </c>
      <c r="N110" s="51" t="str">
        <f>VLOOKUP(appointments7[[#This Row],[Doctor_ID]],Doctors!$A:$H,7,FALSE)</f>
        <v>Central Hospital</v>
      </c>
      <c r="O110" s="52">
        <v>45136</v>
      </c>
      <c r="P110" s="53">
        <v>0.58333333333333326</v>
      </c>
      <c r="Q110" s="51" t="s">
        <v>38</v>
      </c>
      <c r="R110" s="51" t="s">
        <v>11</v>
      </c>
      <c r="S110" s="51" t="str">
        <f>VLOOKUP(appointments7[[#This Row],[Appointment_ID]],Treatments!$A:$F,2,FALSE)</f>
        <v>T109</v>
      </c>
      <c r="T110" s="51" t="str">
        <f>VLOOKUP(appointments7[[#This Row],[Appointment_ID]],Treatments!$A:$F,3,FALSE)</f>
        <v>Chemotherapy</v>
      </c>
      <c r="U110" s="54">
        <f>VLOOKUP(treatments[[#This Row],[appointment_id]],Treatments!$A:$F,5,FALSE)</f>
        <v>3478.28</v>
      </c>
      <c r="V110" s="52">
        <f>VLOOKUP(appointments7[[#This Row],[Appointment_ID]],Treatments!$A:$F,6,FALSE)</f>
        <v>45136</v>
      </c>
      <c r="W110" s="52" t="str">
        <f>VLOOKUP(appointments7[[#This Row],[Patient_ID]],Billing!$A:$G,2,FALSE)</f>
        <v>B064</v>
      </c>
      <c r="X110" s="52">
        <f>VLOOKUP(appointments7[[#This Row],[Patient_ID]],Billing!$A:$H,4,FALSE)</f>
        <v>45077</v>
      </c>
      <c r="Y110" s="54">
        <f>VLOOKUP(appointments7[[#This Row],[Patient_ID]],Billing!$A:$G,5,FALSE)</f>
        <v>3815.93</v>
      </c>
      <c r="Z110" s="54" t="str">
        <f>VLOOKUP(appointments7[[#This Row],[Patient_ID]],Billing!$A:$G,6,FALSE)</f>
        <v>Cash</v>
      </c>
      <c r="AA110" s="52" t="str">
        <f>VLOOKUP(appointments7[[#This Row],[Patient_ID]],Billing!$A:$G,7,FALSE)</f>
        <v>Paid</v>
      </c>
      <c r="AB110" s="2"/>
      <c r="AC110" s="2"/>
    </row>
    <row r="111" spans="1:29" x14ac:dyDescent="0.4">
      <c r="A111" s="51" t="s">
        <v>180</v>
      </c>
      <c r="B111" s="51" t="s">
        <v>68</v>
      </c>
      <c r="C111" s="51" t="s">
        <v>888</v>
      </c>
      <c r="D111" s="51" t="str">
        <f>VLOOKUP(appointments7[[#This Row],[Patient_ID]],Patients!$A:$K,4,FALSE)</f>
        <v>M</v>
      </c>
      <c r="E111" s="52">
        <f>VLOOKUP(appointments7[[#This Row],[Patient_ID]],Patients!$A:$K,5,FALSE)</f>
        <v>26629</v>
      </c>
      <c r="F111" s="51">
        <f>VLOOKUP(appointments7[[#This Row],[Patient_ID]],Patients!$A:$K,6,FALSE)</f>
        <v>7712937941</v>
      </c>
      <c r="G111" s="51" t="str">
        <f>VLOOKUP(appointments7[[#This Row],[Patient_ID]],Patients!$A:$K,7,FALSE)</f>
        <v>321 Maple Dr</v>
      </c>
      <c r="H111" s="52">
        <f>VLOOKUP(appointments7[[#This Row],[Patient_ID]],Patients!$A:$K,8,FALSE)</f>
        <v>45091</v>
      </c>
      <c r="I111" s="51" t="str">
        <f>VLOOKUP(appointments7[[#This Row],[Patient_ID]],Patients!$A:$K,11,FALSE)</f>
        <v>david.moore@mail.com</v>
      </c>
      <c r="J111" s="51" t="s">
        <v>74</v>
      </c>
      <c r="K111" s="51" t="s">
        <v>915</v>
      </c>
      <c r="L111" s="51" t="str">
        <f>VLOOKUP(appointments7[[#This Row],[Doctor_ID]],Doctors!$A:$H,4,FALSE)</f>
        <v>Dermatology</v>
      </c>
      <c r="M111" s="51">
        <f>VLOOKUP(appointments7[[#This Row],[Doctor_ID]],Doctors!$A:$H,5,FALSE)</f>
        <v>9118538547</v>
      </c>
      <c r="N111" s="51" t="str">
        <f>VLOOKUP(appointments7[[#This Row],[Doctor_ID]],Doctors!$A:$H,7,FALSE)</f>
        <v>Central Hospital</v>
      </c>
      <c r="O111" s="52">
        <v>45126</v>
      </c>
      <c r="P111" s="53">
        <v>0.60416666666666674</v>
      </c>
      <c r="Q111" s="51" t="s">
        <v>18</v>
      </c>
      <c r="R111" s="51" t="s">
        <v>11</v>
      </c>
      <c r="S111" s="51" t="str">
        <f>VLOOKUP(appointments7[[#This Row],[Appointment_ID]],Treatments!$A:$F,2,FALSE)</f>
        <v>T110</v>
      </c>
      <c r="T111" s="51" t="str">
        <f>VLOOKUP(appointments7[[#This Row],[Appointment_ID]],Treatments!$A:$F,3,FALSE)</f>
        <v>Chemotherapy</v>
      </c>
      <c r="U111" s="54">
        <f>VLOOKUP(treatments[[#This Row],[appointment_id]],Treatments!$A:$F,5,FALSE)</f>
        <v>3010.03</v>
      </c>
      <c r="V111" s="52">
        <f>VLOOKUP(appointments7[[#This Row],[Appointment_ID]],Treatments!$A:$F,6,FALSE)</f>
        <v>45126</v>
      </c>
      <c r="W111" s="52" t="str">
        <f>VLOOKUP(appointments7[[#This Row],[Patient_ID]],Billing!$A:$G,2,FALSE)</f>
        <v>B024</v>
      </c>
      <c r="X111" s="52">
        <f>VLOOKUP(appointments7[[#This Row],[Patient_ID]],Billing!$A:$H,4,FALSE)</f>
        <v>45098</v>
      </c>
      <c r="Y111" s="54">
        <f>VLOOKUP(appointments7[[#This Row],[Patient_ID]],Billing!$A:$G,5,FALSE)</f>
        <v>3722.68</v>
      </c>
      <c r="Z111" s="54" t="str">
        <f>VLOOKUP(appointments7[[#This Row],[Patient_ID]],Billing!$A:$G,6,FALSE)</f>
        <v>Cash</v>
      </c>
      <c r="AA111" s="52" t="str">
        <f>VLOOKUP(appointments7[[#This Row],[Patient_ID]],Billing!$A:$G,7,FALSE)</f>
        <v>Pending</v>
      </c>
      <c r="AB111" s="2"/>
      <c r="AC111" s="2"/>
    </row>
    <row r="112" spans="1:29" x14ac:dyDescent="0.4">
      <c r="A112" s="51" t="s">
        <v>181</v>
      </c>
      <c r="B112" s="51" t="s">
        <v>125</v>
      </c>
      <c r="C112" s="51" t="s">
        <v>879</v>
      </c>
      <c r="D112" s="51" t="str">
        <f>VLOOKUP(appointments7[[#This Row],[Patient_ID]],Patients!$A:$K,4,FALSE)</f>
        <v>F</v>
      </c>
      <c r="E112" s="52">
        <f>VLOOKUP(appointments7[[#This Row],[Patient_ID]],Patients!$A:$K,5,FALSE)</f>
        <v>34072</v>
      </c>
      <c r="F112" s="51">
        <f>VLOOKUP(appointments7[[#This Row],[Patient_ID]],Patients!$A:$K,6,FALSE)</f>
        <v>7039619487</v>
      </c>
      <c r="G112" s="51" t="str">
        <f>VLOOKUP(appointments7[[#This Row],[Patient_ID]],Patients!$A:$K,7,FALSE)</f>
        <v>123 Elm St</v>
      </c>
      <c r="H112" s="52">
        <f>VLOOKUP(appointments7[[#This Row],[Patient_ID]],Patients!$A:$K,8,FALSE)</f>
        <v>45116</v>
      </c>
      <c r="I112" s="51" t="str">
        <f>VLOOKUP(appointments7[[#This Row],[Patient_ID]],Patients!$A:$K,11,FALSE)</f>
        <v>david.wilson@mail.com</v>
      </c>
      <c r="J112" s="51" t="s">
        <v>35</v>
      </c>
      <c r="K112" s="51" t="s">
        <v>912</v>
      </c>
      <c r="L112" s="51" t="str">
        <f>VLOOKUP(appointments7[[#This Row],[Doctor_ID]],Doctors!$A:$H,4,FALSE)</f>
        <v>Oncology</v>
      </c>
      <c r="M112" s="51">
        <f>VLOOKUP(appointments7[[#This Row],[Doctor_ID]],Doctors!$A:$H,5,FALSE)</f>
        <v>6176383634</v>
      </c>
      <c r="N112" s="51" t="str">
        <f>VLOOKUP(appointments7[[#This Row],[Doctor_ID]],Doctors!$A:$H,7,FALSE)</f>
        <v>Eastside Clinic</v>
      </c>
      <c r="O112" s="52">
        <v>45068</v>
      </c>
      <c r="P112" s="53">
        <v>0.64583333333333326</v>
      </c>
      <c r="Q112" s="51" t="s">
        <v>38</v>
      </c>
      <c r="R112" s="51" t="s">
        <v>11</v>
      </c>
      <c r="S112" s="51" t="str">
        <f>VLOOKUP(appointments7[[#This Row],[Appointment_ID]],Treatments!$A:$F,2,FALSE)</f>
        <v>T111</v>
      </c>
      <c r="T112" s="51" t="str">
        <f>VLOOKUP(appointments7[[#This Row],[Appointment_ID]],Treatments!$A:$F,3,FALSE)</f>
        <v>MRI</v>
      </c>
      <c r="U112" s="54">
        <f>VLOOKUP(treatments[[#This Row],[appointment_id]],Treatments!$A:$F,5,FALSE)</f>
        <v>3787.93</v>
      </c>
      <c r="V112" s="52">
        <f>VLOOKUP(appointments7[[#This Row],[Appointment_ID]],Treatments!$A:$F,6,FALSE)</f>
        <v>45068</v>
      </c>
      <c r="W112" s="52" t="str">
        <f>VLOOKUP(appointments7[[#This Row],[Patient_ID]],Billing!$A:$G,2,FALSE)</f>
        <v>B064</v>
      </c>
      <c r="X112" s="52">
        <f>VLOOKUP(appointments7[[#This Row],[Patient_ID]],Billing!$A:$H,4,FALSE)</f>
        <v>45077</v>
      </c>
      <c r="Y112" s="54">
        <f>VLOOKUP(appointments7[[#This Row],[Patient_ID]],Billing!$A:$G,5,FALSE)</f>
        <v>3815.93</v>
      </c>
      <c r="Z112" s="54" t="str">
        <f>VLOOKUP(appointments7[[#This Row],[Patient_ID]],Billing!$A:$G,6,FALSE)</f>
        <v>Cash</v>
      </c>
      <c r="AA112" s="52" t="str">
        <f>VLOOKUP(appointments7[[#This Row],[Patient_ID]],Billing!$A:$G,7,FALSE)</f>
        <v>Paid</v>
      </c>
      <c r="AB112" s="2"/>
      <c r="AC112" s="2"/>
    </row>
    <row r="113" spans="1:29" x14ac:dyDescent="0.4">
      <c r="A113" s="51" t="s">
        <v>182</v>
      </c>
      <c r="B113" s="51" t="s">
        <v>17</v>
      </c>
      <c r="C113" s="51" t="s">
        <v>872</v>
      </c>
      <c r="D113" s="51" t="str">
        <f>VLOOKUP(appointments7[[#This Row],[Patient_ID]],Patients!$A:$K,4,FALSE)</f>
        <v>M</v>
      </c>
      <c r="E113" s="52">
        <f>VLOOKUP(appointments7[[#This Row],[Patient_ID]],Patients!$A:$K,5,FALSE)</f>
        <v>30399</v>
      </c>
      <c r="F113" s="51">
        <f>VLOOKUP(appointments7[[#This Row],[Patient_ID]],Patients!$A:$K,6,FALSE)</f>
        <v>8720989381</v>
      </c>
      <c r="G113" s="51" t="str">
        <f>VLOOKUP(appointments7[[#This Row],[Patient_ID]],Patients!$A:$K,7,FALSE)</f>
        <v>123 Elm St</v>
      </c>
      <c r="H113" s="52">
        <f>VLOOKUP(appointments7[[#This Row],[Patient_ID]],Patients!$A:$K,8,FALSE)</f>
        <v>45096</v>
      </c>
      <c r="I113" s="51" t="str">
        <f>VLOOKUP(appointments7[[#This Row],[Patient_ID]],Patients!$A:$K,11,FALSE)</f>
        <v>emily.miller@mail.com</v>
      </c>
      <c r="J113" s="51" t="s">
        <v>35</v>
      </c>
      <c r="K113" s="51" t="s">
        <v>912</v>
      </c>
      <c r="L113" s="51" t="str">
        <f>VLOOKUP(appointments7[[#This Row],[Doctor_ID]],Doctors!$A:$H,4,FALSE)</f>
        <v>Oncology</v>
      </c>
      <c r="M113" s="51">
        <f>VLOOKUP(appointments7[[#This Row],[Doctor_ID]],Doctors!$A:$H,5,FALSE)</f>
        <v>6176383634</v>
      </c>
      <c r="N113" s="51" t="str">
        <f>VLOOKUP(appointments7[[#This Row],[Doctor_ID]],Doctors!$A:$H,7,FALSE)</f>
        <v>Eastside Clinic</v>
      </c>
      <c r="O113" s="52">
        <v>44937</v>
      </c>
      <c r="P113" s="53">
        <v>0.33333333333333326</v>
      </c>
      <c r="Q113" s="51" t="s">
        <v>38</v>
      </c>
      <c r="R113" s="51" t="s">
        <v>15</v>
      </c>
      <c r="S113" s="51" t="str">
        <f>VLOOKUP(appointments7[[#This Row],[Appointment_ID]],Treatments!$A:$F,2,FALSE)</f>
        <v>T112</v>
      </c>
      <c r="T113" s="51" t="str">
        <f>VLOOKUP(appointments7[[#This Row],[Appointment_ID]],Treatments!$A:$F,3,FALSE)</f>
        <v>MRI</v>
      </c>
      <c r="U113" s="54">
        <f>VLOOKUP(treatments[[#This Row],[appointment_id]],Treatments!$A:$F,5,FALSE)</f>
        <v>2593.4299999999998</v>
      </c>
      <c r="V113" s="52">
        <f>VLOOKUP(appointments7[[#This Row],[Appointment_ID]],Treatments!$A:$F,6,FALSE)</f>
        <v>44937</v>
      </c>
      <c r="W113" s="52" t="str">
        <f>VLOOKUP(appointments7[[#This Row],[Patient_ID]],Billing!$A:$G,2,FALSE)</f>
        <v>B003</v>
      </c>
      <c r="X113" s="52">
        <f>VLOOKUP(appointments7[[#This Row],[Patient_ID]],Billing!$A:$H,4,FALSE)</f>
        <v>45105</v>
      </c>
      <c r="Y113" s="54">
        <f>VLOOKUP(appointments7[[#This Row],[Patient_ID]],Billing!$A:$G,5,FALSE)</f>
        <v>3731.55</v>
      </c>
      <c r="Z113" s="54" t="str">
        <f>VLOOKUP(appointments7[[#This Row],[Patient_ID]],Billing!$A:$G,6,FALSE)</f>
        <v>Insurance</v>
      </c>
      <c r="AA113" s="52" t="str">
        <f>VLOOKUP(appointments7[[#This Row],[Patient_ID]],Billing!$A:$G,7,FALSE)</f>
        <v>Paid</v>
      </c>
      <c r="AB113" s="2"/>
      <c r="AC113" s="2"/>
    </row>
    <row r="114" spans="1:29" x14ac:dyDescent="0.4">
      <c r="A114" s="51" t="s">
        <v>183</v>
      </c>
      <c r="B114" s="51" t="s">
        <v>84</v>
      </c>
      <c r="C114" s="51" t="s">
        <v>890</v>
      </c>
      <c r="D114" s="51" t="str">
        <f>VLOOKUP(appointments7[[#This Row],[Patient_ID]],Patients!$A:$K,4,FALSE)</f>
        <v>M</v>
      </c>
      <c r="E114" s="52">
        <f>VLOOKUP(appointments7[[#This Row],[Patient_ID]],Patients!$A:$K,5,FALSE)</f>
        <v>35790</v>
      </c>
      <c r="F114" s="51">
        <f>VLOOKUP(appointments7[[#This Row],[Patient_ID]],Patients!$A:$K,6,FALSE)</f>
        <v>8545613046</v>
      </c>
      <c r="G114" s="51" t="str">
        <f>VLOOKUP(appointments7[[#This Row],[Patient_ID]],Patients!$A:$K,7,FALSE)</f>
        <v>123 Elm St</v>
      </c>
      <c r="H114" s="52">
        <f>VLOOKUP(appointments7[[#This Row],[Patient_ID]],Patients!$A:$K,8,FALSE)</f>
        <v>44838</v>
      </c>
      <c r="I114" s="51" t="str">
        <f>VLOOKUP(appointments7[[#This Row],[Patient_ID]],Patients!$A:$K,11,FALSE)</f>
        <v>michael.wilson@mail.com</v>
      </c>
      <c r="J114" s="51" t="s">
        <v>25</v>
      </c>
      <c r="K114" s="51" t="s">
        <v>906</v>
      </c>
      <c r="L114" s="51" t="str">
        <f>VLOOKUP(appointments7[[#This Row],[Doctor_ID]],Doctors!$A:$H,4,FALSE)</f>
        <v>Pediatrics</v>
      </c>
      <c r="M114" s="51">
        <f>VLOOKUP(appointments7[[#This Row],[Doctor_ID]],Doctors!$A:$H,5,FALSE)</f>
        <v>8737740598</v>
      </c>
      <c r="N114" s="51" t="str">
        <f>VLOOKUP(appointments7[[#This Row],[Doctor_ID]],Doctors!$A:$H,7,FALSE)</f>
        <v>Eastside Clinic</v>
      </c>
      <c r="O114" s="52">
        <v>45254</v>
      </c>
      <c r="P114" s="53">
        <v>0.64583333333333326</v>
      </c>
      <c r="Q114" s="51" t="s">
        <v>18</v>
      </c>
      <c r="R114" s="51" t="s">
        <v>19</v>
      </c>
      <c r="S114" s="51" t="str">
        <f>VLOOKUP(appointments7[[#This Row],[Appointment_ID]],Treatments!$A:$F,2,FALSE)</f>
        <v>T113</v>
      </c>
      <c r="T114" s="51" t="str">
        <f>VLOOKUP(appointments7[[#This Row],[Appointment_ID]],Treatments!$A:$F,3,FALSE)</f>
        <v>Chemotherapy</v>
      </c>
      <c r="U114" s="54">
        <f>VLOOKUP(treatments[[#This Row],[appointment_id]],Treatments!$A:$F,5,FALSE)</f>
        <v>770.64</v>
      </c>
      <c r="V114" s="52">
        <f>VLOOKUP(appointments7[[#This Row],[Appointment_ID]],Treatments!$A:$F,6,FALSE)</f>
        <v>45254</v>
      </c>
      <c r="W114" s="52" t="str">
        <f>VLOOKUP(appointments7[[#This Row],[Patient_ID]],Billing!$A:$G,2,FALSE)</f>
        <v>B035</v>
      </c>
      <c r="X114" s="52">
        <f>VLOOKUP(appointments7[[#This Row],[Patient_ID]],Billing!$A:$H,4,FALSE)</f>
        <v>45034</v>
      </c>
      <c r="Y114" s="54">
        <f>VLOOKUP(appointments7[[#This Row],[Patient_ID]],Billing!$A:$G,5,FALSE)</f>
        <v>1654.53</v>
      </c>
      <c r="Z114" s="54" t="str">
        <f>VLOOKUP(appointments7[[#This Row],[Patient_ID]],Billing!$A:$G,6,FALSE)</f>
        <v>Insurance</v>
      </c>
      <c r="AA114" s="52" t="str">
        <f>VLOOKUP(appointments7[[#This Row],[Patient_ID]],Billing!$A:$G,7,FALSE)</f>
        <v>Failed</v>
      </c>
      <c r="AB114" s="2"/>
      <c r="AC114" s="2"/>
    </row>
    <row r="115" spans="1:29" x14ac:dyDescent="0.4">
      <c r="A115" s="51" t="s">
        <v>184</v>
      </c>
      <c r="B115" s="51" t="s">
        <v>185</v>
      </c>
      <c r="C115" s="51" t="s">
        <v>898</v>
      </c>
      <c r="D115" s="51" t="str">
        <f>VLOOKUP(appointments7[[#This Row],[Patient_ID]],Patients!$A:$K,4,FALSE)</f>
        <v>M</v>
      </c>
      <c r="E115" s="52">
        <f>VLOOKUP(appointments7[[#This Row],[Patient_ID]],Patients!$A:$K,5,FALSE)</f>
        <v>29122</v>
      </c>
      <c r="F115" s="51">
        <f>VLOOKUP(appointments7[[#This Row],[Patient_ID]],Patients!$A:$K,6,FALSE)</f>
        <v>7145815738</v>
      </c>
      <c r="G115" s="51" t="str">
        <f>VLOOKUP(appointments7[[#This Row],[Patient_ID]],Patients!$A:$K,7,FALSE)</f>
        <v>789 Pine Rd</v>
      </c>
      <c r="H115" s="52">
        <f>VLOOKUP(appointments7[[#This Row],[Patient_ID]],Patients!$A:$K,8,FALSE)</f>
        <v>44827</v>
      </c>
      <c r="I115" s="51" t="str">
        <f>VLOOKUP(appointments7[[#This Row],[Patient_ID]],Patients!$A:$K,11,FALSE)</f>
        <v>laura.wilson@mail.com</v>
      </c>
      <c r="J115" s="51" t="s">
        <v>59</v>
      </c>
      <c r="K115" s="51" t="s">
        <v>914</v>
      </c>
      <c r="L115" s="51" t="str">
        <f>VLOOKUP(appointments7[[#This Row],[Doctor_ID]],Doctors!$A:$H,4,FALSE)</f>
        <v>Dermatology</v>
      </c>
      <c r="M115" s="51">
        <f>VLOOKUP(appointments7[[#This Row],[Doctor_ID]],Doctors!$A:$H,5,FALSE)</f>
        <v>8322010158</v>
      </c>
      <c r="N115" s="51" t="str">
        <f>VLOOKUP(appointments7[[#This Row],[Doctor_ID]],Doctors!$A:$H,7,FALSE)</f>
        <v>Westside Clinic</v>
      </c>
      <c r="O115" s="52">
        <v>45146</v>
      </c>
      <c r="P115" s="53">
        <v>0.375</v>
      </c>
      <c r="Q115" s="51" t="s">
        <v>10</v>
      </c>
      <c r="R115" s="51" t="s">
        <v>41</v>
      </c>
      <c r="S115" s="51" t="str">
        <f>VLOOKUP(appointments7[[#This Row],[Appointment_ID]],Treatments!$A:$F,2,FALSE)</f>
        <v>T114</v>
      </c>
      <c r="T115" s="51" t="str">
        <f>VLOOKUP(appointments7[[#This Row],[Appointment_ID]],Treatments!$A:$F,3,FALSE)</f>
        <v>Chemotherapy</v>
      </c>
      <c r="U115" s="54">
        <f>VLOOKUP(treatments[[#This Row],[appointment_id]],Treatments!$A:$F,5,FALSE)</f>
        <v>3030.34</v>
      </c>
      <c r="V115" s="52">
        <f>VLOOKUP(appointments7[[#This Row],[Appointment_ID]],Treatments!$A:$F,6,FALSE)</f>
        <v>45146</v>
      </c>
      <c r="W115" s="52" t="str">
        <f>VLOOKUP(appointments7[[#This Row],[Patient_ID]],Billing!$A:$G,2,FALSE)</f>
        <v>B114</v>
      </c>
      <c r="X115" s="52">
        <f>VLOOKUP(appointments7[[#This Row],[Patient_ID]],Billing!$A:$H,4,FALSE)</f>
        <v>45146</v>
      </c>
      <c r="Y115" s="54">
        <f>VLOOKUP(appointments7[[#This Row],[Patient_ID]],Billing!$A:$G,5,FALSE)</f>
        <v>3030.34</v>
      </c>
      <c r="Z115" s="54" t="str">
        <f>VLOOKUP(appointments7[[#This Row],[Patient_ID]],Billing!$A:$G,6,FALSE)</f>
        <v>Cash</v>
      </c>
      <c r="AA115" s="52" t="str">
        <f>VLOOKUP(appointments7[[#This Row],[Patient_ID]],Billing!$A:$G,7,FALSE)</f>
        <v>Pending</v>
      </c>
      <c r="AB115" s="2"/>
      <c r="AC115" s="2"/>
    </row>
    <row r="116" spans="1:29" x14ac:dyDescent="0.4">
      <c r="A116" s="51" t="s">
        <v>186</v>
      </c>
      <c r="B116" s="51" t="s">
        <v>68</v>
      </c>
      <c r="C116" s="51" t="s">
        <v>888</v>
      </c>
      <c r="D116" s="51" t="str">
        <f>VLOOKUP(appointments7[[#This Row],[Patient_ID]],Patients!$A:$K,4,FALSE)</f>
        <v>M</v>
      </c>
      <c r="E116" s="52">
        <f>VLOOKUP(appointments7[[#This Row],[Patient_ID]],Patients!$A:$K,5,FALSE)</f>
        <v>26629</v>
      </c>
      <c r="F116" s="51">
        <f>VLOOKUP(appointments7[[#This Row],[Patient_ID]],Patients!$A:$K,6,FALSE)</f>
        <v>7712937941</v>
      </c>
      <c r="G116" s="51" t="str">
        <f>VLOOKUP(appointments7[[#This Row],[Patient_ID]],Patients!$A:$K,7,FALSE)</f>
        <v>321 Maple Dr</v>
      </c>
      <c r="H116" s="52">
        <f>VLOOKUP(appointments7[[#This Row],[Patient_ID]],Patients!$A:$K,8,FALSE)</f>
        <v>45091</v>
      </c>
      <c r="I116" s="51" t="str">
        <f>VLOOKUP(appointments7[[#This Row],[Patient_ID]],Patients!$A:$K,11,FALSE)</f>
        <v>david.moore@mail.com</v>
      </c>
      <c r="J116" s="51" t="s">
        <v>74</v>
      </c>
      <c r="K116" s="51" t="s">
        <v>915</v>
      </c>
      <c r="L116" s="51" t="str">
        <f>VLOOKUP(appointments7[[#This Row],[Doctor_ID]],Doctors!$A:$H,4,FALSE)</f>
        <v>Dermatology</v>
      </c>
      <c r="M116" s="51">
        <f>VLOOKUP(appointments7[[#This Row],[Doctor_ID]],Doctors!$A:$H,5,FALSE)</f>
        <v>9118538547</v>
      </c>
      <c r="N116" s="51" t="str">
        <f>VLOOKUP(appointments7[[#This Row],[Doctor_ID]],Doctors!$A:$H,7,FALSE)</f>
        <v>Central Hospital</v>
      </c>
      <c r="O116" s="52">
        <v>45224</v>
      </c>
      <c r="P116" s="53">
        <v>0.4375</v>
      </c>
      <c r="Q116" s="51" t="s">
        <v>10</v>
      </c>
      <c r="R116" s="51" t="s">
        <v>15</v>
      </c>
      <c r="S116" s="51" t="str">
        <f>VLOOKUP(appointments7[[#This Row],[Appointment_ID]],Treatments!$A:$F,2,FALSE)</f>
        <v>T115</v>
      </c>
      <c r="T116" s="51" t="str">
        <f>VLOOKUP(appointments7[[#This Row],[Appointment_ID]],Treatments!$A:$F,3,FALSE)</f>
        <v>X-Ray</v>
      </c>
      <c r="U116" s="54">
        <f>VLOOKUP(treatments[[#This Row],[appointment_id]],Treatments!$A:$F,5,FALSE)</f>
        <v>4809.3100000000004</v>
      </c>
      <c r="V116" s="52">
        <f>VLOOKUP(appointments7[[#This Row],[Appointment_ID]],Treatments!$A:$F,6,FALSE)</f>
        <v>45224</v>
      </c>
      <c r="W116" s="52" t="str">
        <f>VLOOKUP(appointments7[[#This Row],[Patient_ID]],Billing!$A:$G,2,FALSE)</f>
        <v>B024</v>
      </c>
      <c r="X116" s="52">
        <f>VLOOKUP(appointments7[[#This Row],[Patient_ID]],Billing!$A:$H,4,FALSE)</f>
        <v>45098</v>
      </c>
      <c r="Y116" s="54">
        <f>VLOOKUP(appointments7[[#This Row],[Patient_ID]],Billing!$A:$G,5,FALSE)</f>
        <v>3722.68</v>
      </c>
      <c r="Z116" s="54" t="str">
        <f>VLOOKUP(appointments7[[#This Row],[Patient_ID]],Billing!$A:$G,6,FALSE)</f>
        <v>Cash</v>
      </c>
      <c r="AA116" s="52" t="str">
        <f>VLOOKUP(appointments7[[#This Row],[Patient_ID]],Billing!$A:$G,7,FALSE)</f>
        <v>Pending</v>
      </c>
      <c r="AB116" s="2"/>
      <c r="AC116" s="2"/>
    </row>
    <row r="117" spans="1:29" x14ac:dyDescent="0.4">
      <c r="A117" s="51" t="s">
        <v>187</v>
      </c>
      <c r="B117" s="51" t="s">
        <v>37</v>
      </c>
      <c r="C117" s="51" t="s">
        <v>878</v>
      </c>
      <c r="D117" s="51" t="str">
        <f>VLOOKUP(appointments7[[#This Row],[Patient_ID]],Patients!$A:$K,4,FALSE)</f>
        <v>F</v>
      </c>
      <c r="E117" s="52">
        <f>VLOOKUP(appointments7[[#This Row],[Patient_ID]],Patients!$A:$K,5,FALSE)</f>
        <v>18609</v>
      </c>
      <c r="F117" s="51">
        <f>VLOOKUP(appointments7[[#This Row],[Patient_ID]],Patients!$A:$K,6,FALSE)</f>
        <v>9271131338</v>
      </c>
      <c r="G117" s="51" t="str">
        <f>VLOOKUP(appointments7[[#This Row],[Patient_ID]],Patients!$A:$K,7,FALSE)</f>
        <v>789 Pine Rd</v>
      </c>
      <c r="H117" s="52">
        <f>VLOOKUP(appointments7[[#This Row],[Patient_ID]],Patients!$A:$K,8,FALSE)</f>
        <v>44264</v>
      </c>
      <c r="I117" s="51" t="str">
        <f>VLOOKUP(appointments7[[#This Row],[Patient_ID]],Patients!$A:$K,11,FALSE)</f>
        <v>jane.wilson@mail.com</v>
      </c>
      <c r="J117" s="51" t="s">
        <v>9</v>
      </c>
      <c r="K117" s="51" t="s">
        <v>908</v>
      </c>
      <c r="L117" s="51" t="str">
        <f>VLOOKUP(appointments7[[#This Row],[Doctor_ID]],Doctors!$A:$H,4,FALSE)</f>
        <v>Pediatrics</v>
      </c>
      <c r="M117" s="51">
        <f>VLOOKUP(appointments7[[#This Row],[Doctor_ID]],Doctors!$A:$H,5,FALSE)</f>
        <v>7387087517</v>
      </c>
      <c r="N117" s="51" t="str">
        <f>VLOOKUP(appointments7[[#This Row],[Doctor_ID]],Doctors!$A:$H,7,FALSE)</f>
        <v>Central Hospital</v>
      </c>
      <c r="O117" s="52">
        <v>45114</v>
      </c>
      <c r="P117" s="53">
        <v>0.38541666666666674</v>
      </c>
      <c r="Q117" s="51" t="s">
        <v>38</v>
      </c>
      <c r="R117" s="51" t="s">
        <v>15</v>
      </c>
      <c r="S117" s="51" t="str">
        <f>VLOOKUP(appointments7[[#This Row],[Appointment_ID]],Treatments!$A:$F,2,FALSE)</f>
        <v>T116</v>
      </c>
      <c r="T117" s="51" t="str">
        <f>VLOOKUP(appointments7[[#This Row],[Appointment_ID]],Treatments!$A:$F,3,FALSE)</f>
        <v>X-Ray</v>
      </c>
      <c r="U117" s="54">
        <f>VLOOKUP(treatments[[#This Row],[appointment_id]],Treatments!$A:$F,5,FALSE)</f>
        <v>1288.8599999999999</v>
      </c>
      <c r="V117" s="52">
        <f>VLOOKUP(appointments7[[#This Row],[Appointment_ID]],Treatments!$A:$F,6,FALSE)</f>
        <v>45114</v>
      </c>
      <c r="W117" s="52" t="str">
        <f>VLOOKUP(appointments7[[#This Row],[Patient_ID]],Billing!$A:$G,2,FALSE)</f>
        <v>B009</v>
      </c>
      <c r="X117" s="52">
        <f>VLOOKUP(appointments7[[#This Row],[Patient_ID]],Billing!$A:$H,4,FALSE)</f>
        <v>44990</v>
      </c>
      <c r="Y117" s="54">
        <f>VLOOKUP(appointments7[[#This Row],[Patient_ID]],Billing!$A:$G,5,FALSE)</f>
        <v>4541.1400000000003</v>
      </c>
      <c r="Z117" s="54" t="str">
        <f>VLOOKUP(appointments7[[#This Row],[Patient_ID]],Billing!$A:$G,6,FALSE)</f>
        <v>Credit Card</v>
      </c>
      <c r="AA117" s="52" t="str">
        <f>VLOOKUP(appointments7[[#This Row],[Patient_ID]],Billing!$A:$G,7,FALSE)</f>
        <v>Paid</v>
      </c>
      <c r="AB117" s="2"/>
      <c r="AC117" s="2"/>
    </row>
    <row r="118" spans="1:29" x14ac:dyDescent="0.4">
      <c r="A118" s="51" t="s">
        <v>188</v>
      </c>
      <c r="B118" s="51" t="s">
        <v>13</v>
      </c>
      <c r="C118" s="51" t="s">
        <v>871</v>
      </c>
      <c r="D118" s="51" t="str">
        <f>VLOOKUP(appointments7[[#This Row],[Patient_ID]],Patients!$A:$K,4,FALSE)</f>
        <v>M</v>
      </c>
      <c r="E118" s="52">
        <f>VLOOKUP(appointments7[[#This Row],[Patient_ID]],Patients!$A:$K,5,FALSE)</f>
        <v>29594</v>
      </c>
      <c r="F118" s="51">
        <f>VLOOKUP(appointments7[[#This Row],[Patient_ID]],Patients!$A:$K,6,FALSE)</f>
        <v>8102183595</v>
      </c>
      <c r="G118" s="51" t="str">
        <f>VLOOKUP(appointments7[[#This Row],[Patient_ID]],Patients!$A:$K,7,FALSE)</f>
        <v>123 Elm St</v>
      </c>
      <c r="H118" s="52">
        <f>VLOOKUP(appointments7[[#This Row],[Patient_ID]],Patients!$A:$K,8,FALSE)</f>
        <v>44471</v>
      </c>
      <c r="I118" s="51" t="str">
        <f>VLOOKUP(appointments7[[#This Row],[Patient_ID]],Patients!$A:$K,11,FALSE)</f>
        <v>alex.moore@mail.com</v>
      </c>
      <c r="J118" s="51" t="s">
        <v>59</v>
      </c>
      <c r="K118" s="51" t="s">
        <v>914</v>
      </c>
      <c r="L118" s="51" t="str">
        <f>VLOOKUP(appointments7[[#This Row],[Doctor_ID]],Doctors!$A:$H,4,FALSE)</f>
        <v>Dermatology</v>
      </c>
      <c r="M118" s="51">
        <f>VLOOKUP(appointments7[[#This Row],[Doctor_ID]],Doctors!$A:$H,5,FALSE)</f>
        <v>8322010158</v>
      </c>
      <c r="N118" s="51" t="str">
        <f>VLOOKUP(appointments7[[#This Row],[Doctor_ID]],Doctors!$A:$H,7,FALSE)</f>
        <v>Westside Clinic</v>
      </c>
      <c r="O118" s="52">
        <v>45097</v>
      </c>
      <c r="P118" s="53">
        <v>0.57291666666666674</v>
      </c>
      <c r="Q118" s="51" t="s">
        <v>18</v>
      </c>
      <c r="R118" s="51" t="s">
        <v>15</v>
      </c>
      <c r="S118" s="51" t="str">
        <f>VLOOKUP(appointments7[[#This Row],[Appointment_ID]],Treatments!$A:$F,2,FALSE)</f>
        <v>T117</v>
      </c>
      <c r="T118" s="51" t="str">
        <f>VLOOKUP(appointments7[[#This Row],[Appointment_ID]],Treatments!$A:$F,3,FALSE)</f>
        <v>MRI</v>
      </c>
      <c r="U118" s="54">
        <f>VLOOKUP(treatments[[#This Row],[appointment_id]],Treatments!$A:$F,5,FALSE)</f>
        <v>3605.02</v>
      </c>
      <c r="V118" s="52">
        <f>VLOOKUP(appointments7[[#This Row],[Appointment_ID]],Treatments!$A:$F,6,FALSE)</f>
        <v>45097</v>
      </c>
      <c r="W118" s="52" t="str">
        <f>VLOOKUP(appointments7[[#This Row],[Patient_ID]],Billing!$A:$G,2,FALSE)</f>
        <v>B002</v>
      </c>
      <c r="X118" s="52">
        <f>VLOOKUP(appointments7[[#This Row],[Patient_ID]],Billing!$A:$H,4,FALSE)</f>
        <v>45086</v>
      </c>
      <c r="Y118" s="54">
        <f>VLOOKUP(appointments7[[#This Row],[Patient_ID]],Billing!$A:$G,5,FALSE)</f>
        <v>4158.4399999999996</v>
      </c>
      <c r="Z118" s="54" t="str">
        <f>VLOOKUP(appointments7[[#This Row],[Patient_ID]],Billing!$A:$G,6,FALSE)</f>
        <v>Insurance</v>
      </c>
      <c r="AA118" s="52" t="str">
        <f>VLOOKUP(appointments7[[#This Row],[Patient_ID]],Billing!$A:$G,7,FALSE)</f>
        <v>Paid</v>
      </c>
      <c r="AB118" s="2"/>
      <c r="AC118" s="2"/>
    </row>
    <row r="119" spans="1:29" x14ac:dyDescent="0.4">
      <c r="A119" s="51" t="s">
        <v>189</v>
      </c>
      <c r="B119" s="51" t="s">
        <v>109</v>
      </c>
      <c r="C119" s="51" t="s">
        <v>895</v>
      </c>
      <c r="D119" s="51" t="str">
        <f>VLOOKUP(appointments7[[#This Row],[Patient_ID]],Patients!$A:$K,4,FALSE)</f>
        <v>F</v>
      </c>
      <c r="E119" s="52">
        <f>VLOOKUP(appointments7[[#This Row],[Patient_ID]],Patients!$A:$K,5,FALSE)</f>
        <v>33546</v>
      </c>
      <c r="F119" s="51">
        <f>VLOOKUP(appointments7[[#This Row],[Patient_ID]],Patients!$A:$K,6,FALSE)</f>
        <v>7196777444</v>
      </c>
      <c r="G119" s="51" t="str">
        <f>VLOOKUP(appointments7[[#This Row],[Patient_ID]],Patients!$A:$K,7,FALSE)</f>
        <v>321 Maple Dr</v>
      </c>
      <c r="H119" s="52">
        <f>VLOOKUP(appointments7[[#This Row],[Patient_ID]],Patients!$A:$K,8,FALSE)</f>
        <v>44441</v>
      </c>
      <c r="I119" s="51" t="str">
        <f>VLOOKUP(appointments7[[#This Row],[Patient_ID]],Patients!$A:$K,11,FALSE)</f>
        <v>sarah.brown@mail.com</v>
      </c>
      <c r="J119" s="51" t="s">
        <v>25</v>
      </c>
      <c r="K119" s="51" t="s">
        <v>906</v>
      </c>
      <c r="L119" s="51" t="str">
        <f>VLOOKUP(appointments7[[#This Row],[Doctor_ID]],Doctors!$A:$H,4,FALSE)</f>
        <v>Pediatrics</v>
      </c>
      <c r="M119" s="51">
        <f>VLOOKUP(appointments7[[#This Row],[Doctor_ID]],Doctors!$A:$H,5,FALSE)</f>
        <v>8737740598</v>
      </c>
      <c r="N119" s="51" t="str">
        <f>VLOOKUP(appointments7[[#This Row],[Doctor_ID]],Doctors!$A:$H,7,FALSE)</f>
        <v>Eastside Clinic</v>
      </c>
      <c r="O119" s="52">
        <v>45147</v>
      </c>
      <c r="P119" s="53">
        <v>0.34375</v>
      </c>
      <c r="Q119" s="51" t="s">
        <v>18</v>
      </c>
      <c r="R119" s="51" t="s">
        <v>11</v>
      </c>
      <c r="S119" s="51" t="str">
        <f>VLOOKUP(appointments7[[#This Row],[Appointment_ID]],Treatments!$A:$F,2,FALSE)</f>
        <v>T118</v>
      </c>
      <c r="T119" s="51" t="str">
        <f>VLOOKUP(appointments7[[#This Row],[Appointment_ID]],Treatments!$A:$F,3,FALSE)</f>
        <v>ECG</v>
      </c>
      <c r="U119" s="54">
        <f>VLOOKUP(treatments[[#This Row],[appointment_id]],Treatments!$A:$F,5,FALSE)</f>
        <v>1404.2</v>
      </c>
      <c r="V119" s="52">
        <f>VLOOKUP(appointments7[[#This Row],[Appointment_ID]],Treatments!$A:$F,6,FALSE)</f>
        <v>45147</v>
      </c>
      <c r="W119" s="52" t="str">
        <f>VLOOKUP(appointments7[[#This Row],[Patient_ID]],Billing!$A:$G,2,FALSE)</f>
        <v>B053</v>
      </c>
      <c r="X119" s="52">
        <f>VLOOKUP(appointments7[[#This Row],[Patient_ID]],Billing!$A:$H,4,FALSE)</f>
        <v>44969</v>
      </c>
      <c r="Y119" s="54">
        <f>VLOOKUP(appointments7[[#This Row],[Patient_ID]],Billing!$A:$G,5,FALSE)</f>
        <v>1565.92</v>
      </c>
      <c r="Z119" s="54" t="str">
        <f>VLOOKUP(appointments7[[#This Row],[Patient_ID]],Billing!$A:$G,6,FALSE)</f>
        <v>Insurance</v>
      </c>
      <c r="AA119" s="52" t="str">
        <f>VLOOKUP(appointments7[[#This Row],[Patient_ID]],Billing!$A:$G,7,FALSE)</f>
        <v>Pending</v>
      </c>
      <c r="AB119" s="2"/>
      <c r="AC119" s="2"/>
    </row>
    <row r="120" spans="1:29" x14ac:dyDescent="0.4">
      <c r="A120" s="51" t="s">
        <v>190</v>
      </c>
      <c r="B120" s="51" t="s">
        <v>90</v>
      </c>
      <c r="C120" s="51" t="s">
        <v>891</v>
      </c>
      <c r="D120" s="51" t="str">
        <f>VLOOKUP(appointments7[[#This Row],[Patient_ID]],Patients!$A:$K,4,FALSE)</f>
        <v>M</v>
      </c>
      <c r="E120" s="52">
        <f>VLOOKUP(appointments7[[#This Row],[Patient_ID]],Patients!$A:$K,5,FALSE)</f>
        <v>34387</v>
      </c>
      <c r="F120" s="51">
        <f>VLOOKUP(appointments7[[#This Row],[Patient_ID]],Patients!$A:$K,6,FALSE)</f>
        <v>6141951830</v>
      </c>
      <c r="G120" s="51" t="str">
        <f>VLOOKUP(appointments7[[#This Row],[Patient_ID]],Patients!$A:$K,7,FALSE)</f>
        <v>789 Pine Rd</v>
      </c>
      <c r="H120" s="52">
        <f>VLOOKUP(appointments7[[#This Row],[Patient_ID]],Patients!$A:$K,8,FALSE)</f>
        <v>44557</v>
      </c>
      <c r="I120" s="51" t="str">
        <f>VLOOKUP(appointments7[[#This Row],[Patient_ID]],Patients!$A:$K,11,FALSE)</f>
        <v>linda.johnson@mail.com</v>
      </c>
      <c r="J120" s="51" t="s">
        <v>14</v>
      </c>
      <c r="K120" s="51" t="s">
        <v>909</v>
      </c>
      <c r="L120" s="51" t="str">
        <f>VLOOKUP(appointments7[[#This Row],[Doctor_ID]],Doctors!$A:$H,4,FALSE)</f>
        <v>Pediatrics</v>
      </c>
      <c r="M120" s="51">
        <f>VLOOKUP(appointments7[[#This Row],[Doctor_ID]],Doctors!$A:$H,5,FALSE)</f>
        <v>6594221991</v>
      </c>
      <c r="N120" s="51" t="str">
        <f>VLOOKUP(appointments7[[#This Row],[Doctor_ID]],Doctors!$A:$H,7,FALSE)</f>
        <v>Central Hospital</v>
      </c>
      <c r="O120" s="52">
        <v>45278</v>
      </c>
      <c r="P120" s="53">
        <v>0.5625</v>
      </c>
      <c r="Q120" s="51" t="s">
        <v>26</v>
      </c>
      <c r="R120" s="51" t="s">
        <v>19</v>
      </c>
      <c r="S120" s="51" t="str">
        <f>VLOOKUP(appointments7[[#This Row],[Appointment_ID]],Treatments!$A:$F,2,FALSE)</f>
        <v>T119</v>
      </c>
      <c r="T120" s="51" t="str">
        <f>VLOOKUP(appointments7[[#This Row],[Appointment_ID]],Treatments!$A:$F,3,FALSE)</f>
        <v>Chemotherapy</v>
      </c>
      <c r="U120" s="54">
        <f>VLOOKUP(treatments[[#This Row],[appointment_id]],Treatments!$A:$F,5,FALSE)</f>
        <v>2911.22</v>
      </c>
      <c r="V120" s="52">
        <f>VLOOKUP(appointments7[[#This Row],[Appointment_ID]],Treatments!$A:$F,6,FALSE)</f>
        <v>45278</v>
      </c>
      <c r="W120" s="52" t="str">
        <f>VLOOKUP(appointments7[[#This Row],[Patient_ID]],Billing!$A:$G,2,FALSE)</f>
        <v>B039</v>
      </c>
      <c r="X120" s="52">
        <f>VLOOKUP(appointments7[[#This Row],[Patient_ID]],Billing!$A:$H,4,FALSE)</f>
        <v>45033</v>
      </c>
      <c r="Y120" s="54">
        <f>VLOOKUP(appointments7[[#This Row],[Patient_ID]],Billing!$A:$G,5,FALSE)</f>
        <v>2976.02</v>
      </c>
      <c r="Z120" s="54" t="str">
        <f>VLOOKUP(appointments7[[#This Row],[Patient_ID]],Billing!$A:$G,6,FALSE)</f>
        <v>Insurance</v>
      </c>
      <c r="AA120" s="52" t="str">
        <f>VLOOKUP(appointments7[[#This Row],[Patient_ID]],Billing!$A:$G,7,FALSE)</f>
        <v>Failed</v>
      </c>
      <c r="AB120" s="2"/>
      <c r="AC120" s="2"/>
    </row>
    <row r="121" spans="1:29" x14ac:dyDescent="0.4">
      <c r="A121" s="51" t="s">
        <v>191</v>
      </c>
      <c r="B121" s="51" t="s">
        <v>13</v>
      </c>
      <c r="C121" s="51" t="s">
        <v>871</v>
      </c>
      <c r="D121" s="51" t="str">
        <f>VLOOKUP(appointments7[[#This Row],[Patient_ID]],Patients!$A:$K,4,FALSE)</f>
        <v>M</v>
      </c>
      <c r="E121" s="52">
        <f>VLOOKUP(appointments7[[#This Row],[Patient_ID]],Patients!$A:$K,5,FALSE)</f>
        <v>29594</v>
      </c>
      <c r="F121" s="51">
        <f>VLOOKUP(appointments7[[#This Row],[Patient_ID]],Patients!$A:$K,6,FALSE)</f>
        <v>8102183595</v>
      </c>
      <c r="G121" s="51" t="str">
        <f>VLOOKUP(appointments7[[#This Row],[Patient_ID]],Patients!$A:$K,7,FALSE)</f>
        <v>123 Elm St</v>
      </c>
      <c r="H121" s="52">
        <f>VLOOKUP(appointments7[[#This Row],[Patient_ID]],Patients!$A:$K,8,FALSE)</f>
        <v>44471</v>
      </c>
      <c r="I121" s="51" t="str">
        <f>VLOOKUP(appointments7[[#This Row],[Patient_ID]],Patients!$A:$K,11,FALSE)</f>
        <v>alex.moore@mail.com</v>
      </c>
      <c r="J121" s="51" t="s">
        <v>59</v>
      </c>
      <c r="K121" s="51" t="s">
        <v>914</v>
      </c>
      <c r="L121" s="51" t="str">
        <f>VLOOKUP(appointments7[[#This Row],[Doctor_ID]],Doctors!$A:$H,4,FALSE)</f>
        <v>Dermatology</v>
      </c>
      <c r="M121" s="51">
        <f>VLOOKUP(appointments7[[#This Row],[Doctor_ID]],Doctors!$A:$H,5,FALSE)</f>
        <v>8322010158</v>
      </c>
      <c r="N121" s="51" t="str">
        <f>VLOOKUP(appointments7[[#This Row],[Doctor_ID]],Doctors!$A:$H,7,FALSE)</f>
        <v>Westside Clinic</v>
      </c>
      <c r="O121" s="52">
        <v>45268</v>
      </c>
      <c r="P121" s="53">
        <v>0.45833333333333326</v>
      </c>
      <c r="Q121" s="51" t="s">
        <v>10</v>
      </c>
      <c r="R121" s="51" t="s">
        <v>15</v>
      </c>
      <c r="S121" s="51" t="str">
        <f>VLOOKUP(appointments7[[#This Row],[Appointment_ID]],Treatments!$A:$F,2,FALSE)</f>
        <v>T120</v>
      </c>
      <c r="T121" s="51" t="str">
        <f>VLOOKUP(appointments7[[#This Row],[Appointment_ID]],Treatments!$A:$F,3,FALSE)</f>
        <v>X-Ray</v>
      </c>
      <c r="U121" s="54">
        <f>VLOOKUP(treatments[[#This Row],[appointment_id]],Treatments!$A:$F,5,FALSE)</f>
        <v>935.04</v>
      </c>
      <c r="V121" s="52">
        <f>VLOOKUP(appointments7[[#This Row],[Appointment_ID]],Treatments!$A:$F,6,FALSE)</f>
        <v>45268</v>
      </c>
      <c r="W121" s="52" t="str">
        <f>VLOOKUP(appointments7[[#This Row],[Patient_ID]],Billing!$A:$G,2,FALSE)</f>
        <v>B002</v>
      </c>
      <c r="X121" s="52">
        <f>VLOOKUP(appointments7[[#This Row],[Patient_ID]],Billing!$A:$H,4,FALSE)</f>
        <v>45086</v>
      </c>
      <c r="Y121" s="54">
        <f>VLOOKUP(appointments7[[#This Row],[Patient_ID]],Billing!$A:$G,5,FALSE)</f>
        <v>4158.4399999999996</v>
      </c>
      <c r="Z121" s="54" t="str">
        <f>VLOOKUP(appointments7[[#This Row],[Patient_ID]],Billing!$A:$G,6,FALSE)</f>
        <v>Insurance</v>
      </c>
      <c r="AA121" s="52" t="str">
        <f>VLOOKUP(appointments7[[#This Row],[Patient_ID]],Billing!$A:$G,7,FALSE)</f>
        <v>Paid</v>
      </c>
      <c r="AB121" s="2"/>
      <c r="AC121" s="2"/>
    </row>
    <row r="122" spans="1:29" x14ac:dyDescent="0.4">
      <c r="A122" s="51" t="s">
        <v>192</v>
      </c>
      <c r="B122" s="51" t="s">
        <v>56</v>
      </c>
      <c r="C122" s="51" t="s">
        <v>885</v>
      </c>
      <c r="D122" s="51" t="str">
        <f>VLOOKUP(appointments7[[#This Row],[Patient_ID]],Patients!$A:$K,4,FALSE)</f>
        <v>M</v>
      </c>
      <c r="E122" s="52">
        <f>VLOOKUP(appointments7[[#This Row],[Patient_ID]],Patients!$A:$K,5,FALSE)</f>
        <v>36196</v>
      </c>
      <c r="F122" s="51">
        <f>VLOOKUP(appointments7[[#This Row],[Patient_ID]],Patients!$A:$K,6,FALSE)</f>
        <v>8886800195</v>
      </c>
      <c r="G122" s="51" t="str">
        <f>VLOOKUP(appointments7[[#This Row],[Patient_ID]],Patients!$A:$K,7,FALSE)</f>
        <v>456 Oak Ave</v>
      </c>
      <c r="H122" s="52">
        <f>VLOOKUP(appointments7[[#This Row],[Patient_ID]],Patients!$A:$K,8,FALSE)</f>
        <v>44469</v>
      </c>
      <c r="I122" s="51" t="str">
        <f>VLOOKUP(appointments7[[#This Row],[Patient_ID]],Patients!$A:$K,11,FALSE)</f>
        <v>robert.williams@mail.com</v>
      </c>
      <c r="J122" s="51" t="s">
        <v>59</v>
      </c>
      <c r="K122" s="51" t="s">
        <v>914</v>
      </c>
      <c r="L122" s="51" t="str">
        <f>VLOOKUP(appointments7[[#This Row],[Doctor_ID]],Doctors!$A:$H,4,FALSE)</f>
        <v>Dermatology</v>
      </c>
      <c r="M122" s="51">
        <f>VLOOKUP(appointments7[[#This Row],[Doctor_ID]],Doctors!$A:$H,5,FALSE)</f>
        <v>8322010158</v>
      </c>
      <c r="N122" s="51" t="str">
        <f>VLOOKUP(appointments7[[#This Row],[Doctor_ID]],Doctors!$A:$H,7,FALSE)</f>
        <v>Westside Clinic</v>
      </c>
      <c r="O122" s="52">
        <v>45023</v>
      </c>
      <c r="P122" s="53">
        <v>0.625</v>
      </c>
      <c r="Q122" s="51" t="s">
        <v>29</v>
      </c>
      <c r="R122" s="51" t="s">
        <v>41</v>
      </c>
      <c r="S122" s="51" t="str">
        <f>VLOOKUP(appointments7[[#This Row],[Appointment_ID]],Treatments!$A:$F,2,FALSE)</f>
        <v>T121</v>
      </c>
      <c r="T122" s="51" t="str">
        <f>VLOOKUP(appointments7[[#This Row],[Appointment_ID]],Treatments!$A:$F,3,FALSE)</f>
        <v>MRI</v>
      </c>
      <c r="U122" s="54">
        <f>VLOOKUP(treatments[[#This Row],[appointment_id]],Treatments!$A:$F,5,FALSE)</f>
        <v>2526.67</v>
      </c>
      <c r="V122" s="52">
        <f>VLOOKUP(appointments7[[#This Row],[Appointment_ID]],Treatments!$A:$F,6,FALSE)</f>
        <v>45023</v>
      </c>
      <c r="W122" s="52" t="str">
        <f>VLOOKUP(appointments7[[#This Row],[Patient_ID]],Billing!$A:$G,2,FALSE)</f>
        <v>B017</v>
      </c>
      <c r="X122" s="52">
        <f>VLOOKUP(appointments7[[#This Row],[Patient_ID]],Billing!$A:$H,4,FALSE)</f>
        <v>45118</v>
      </c>
      <c r="Y122" s="54">
        <f>VLOOKUP(appointments7[[#This Row],[Patient_ID]],Billing!$A:$G,5,FALSE)</f>
        <v>1655.49</v>
      </c>
      <c r="Z122" s="54" t="str">
        <f>VLOOKUP(appointments7[[#This Row],[Patient_ID]],Billing!$A:$G,6,FALSE)</f>
        <v>Credit Card</v>
      </c>
      <c r="AA122" s="52" t="str">
        <f>VLOOKUP(appointments7[[#This Row],[Patient_ID]],Billing!$A:$G,7,FALSE)</f>
        <v>Pending</v>
      </c>
      <c r="AB122" s="2"/>
      <c r="AC122" s="2"/>
    </row>
    <row r="123" spans="1:29" x14ac:dyDescent="0.4">
      <c r="A123" s="51" t="s">
        <v>193</v>
      </c>
      <c r="B123" s="51" t="s">
        <v>50</v>
      </c>
      <c r="C123" s="51" t="s">
        <v>883</v>
      </c>
      <c r="D123" s="51" t="str">
        <f>VLOOKUP(appointments7[[#This Row],[Patient_ID]],Patients!$A:$K,4,FALSE)</f>
        <v>F</v>
      </c>
      <c r="E123" s="52">
        <f>VLOOKUP(appointments7[[#This Row],[Patient_ID]],Patients!$A:$K,5,FALSE)</f>
        <v>33580</v>
      </c>
      <c r="F123" s="51">
        <f>VLOOKUP(appointments7[[#This Row],[Patient_ID]],Patients!$A:$K,6,FALSE)</f>
        <v>8135666049</v>
      </c>
      <c r="G123" s="51" t="str">
        <f>VLOOKUP(appointments7[[#This Row],[Patient_ID]],Patients!$A:$K,7,FALSE)</f>
        <v>321 Maple Dr</v>
      </c>
      <c r="H123" s="52">
        <f>VLOOKUP(appointments7[[#This Row],[Patient_ID]],Patients!$A:$K,8,FALSE)</f>
        <v>45043</v>
      </c>
      <c r="I123" s="51" t="str">
        <f>VLOOKUP(appointments7[[#This Row],[Patient_ID]],Patients!$A:$K,11,FALSE)</f>
        <v>laura.davis@mail.com</v>
      </c>
      <c r="J123" s="51" t="s">
        <v>54</v>
      </c>
      <c r="K123" s="51" t="s">
        <v>899</v>
      </c>
      <c r="L123" s="51" t="str">
        <f>VLOOKUP(appointments7[[#This Row],[Doctor_ID]],Doctors!$A:$H,4,FALSE)</f>
        <v>Dermatology</v>
      </c>
      <c r="M123" s="51">
        <f>VLOOKUP(appointments7[[#This Row],[Doctor_ID]],Doctors!$A:$H,5,FALSE)</f>
        <v>9069162601</v>
      </c>
      <c r="N123" s="51" t="str">
        <f>VLOOKUP(appointments7[[#This Row],[Doctor_ID]],Doctors!$A:$H,7,FALSE)</f>
        <v>Westside Clinic</v>
      </c>
      <c r="O123" s="52">
        <v>45118</v>
      </c>
      <c r="P123" s="53">
        <v>0.60416666666666674</v>
      </c>
      <c r="Q123" s="51" t="s">
        <v>10</v>
      </c>
      <c r="R123" s="51" t="s">
        <v>19</v>
      </c>
      <c r="S123" s="51" t="str">
        <f>VLOOKUP(appointments7[[#This Row],[Appointment_ID]],Treatments!$A:$F,2,FALSE)</f>
        <v>T122</v>
      </c>
      <c r="T123" s="51" t="str">
        <f>VLOOKUP(appointments7[[#This Row],[Appointment_ID]],Treatments!$A:$F,3,FALSE)</f>
        <v>X-Ray</v>
      </c>
      <c r="U123" s="54">
        <f>VLOOKUP(treatments[[#This Row],[appointment_id]],Treatments!$A:$F,5,FALSE)</f>
        <v>3902.73</v>
      </c>
      <c r="V123" s="52">
        <f>VLOOKUP(appointments7[[#This Row],[Appointment_ID]],Treatments!$A:$F,6,FALSE)</f>
        <v>45118</v>
      </c>
      <c r="W123" s="52" t="str">
        <f>VLOOKUP(appointments7[[#This Row],[Patient_ID]],Billing!$A:$G,2,FALSE)</f>
        <v>B014</v>
      </c>
      <c r="X123" s="52">
        <f>VLOOKUP(appointments7[[#This Row],[Patient_ID]],Billing!$A:$H,4,FALSE)</f>
        <v>45071</v>
      </c>
      <c r="Y123" s="54">
        <f>VLOOKUP(appointments7[[#This Row],[Patient_ID]],Billing!$A:$G,5,FALSE)</f>
        <v>2082.3000000000002</v>
      </c>
      <c r="Z123" s="54" t="str">
        <f>VLOOKUP(appointments7[[#This Row],[Patient_ID]],Billing!$A:$G,6,FALSE)</f>
        <v>Credit Card</v>
      </c>
      <c r="AA123" s="52" t="str">
        <f>VLOOKUP(appointments7[[#This Row],[Patient_ID]],Billing!$A:$G,7,FALSE)</f>
        <v>Paid</v>
      </c>
      <c r="AB123" s="2"/>
      <c r="AC123" s="2"/>
    </row>
    <row r="124" spans="1:29" x14ac:dyDescent="0.4">
      <c r="A124" s="51" t="s">
        <v>194</v>
      </c>
      <c r="B124" s="51" t="s">
        <v>68</v>
      </c>
      <c r="C124" s="51" t="s">
        <v>888</v>
      </c>
      <c r="D124" s="51" t="str">
        <f>VLOOKUP(appointments7[[#This Row],[Patient_ID]],Patients!$A:$K,4,FALSE)</f>
        <v>M</v>
      </c>
      <c r="E124" s="52">
        <f>VLOOKUP(appointments7[[#This Row],[Patient_ID]],Patients!$A:$K,5,FALSE)</f>
        <v>26629</v>
      </c>
      <c r="F124" s="51">
        <f>VLOOKUP(appointments7[[#This Row],[Patient_ID]],Patients!$A:$K,6,FALSE)</f>
        <v>7712937941</v>
      </c>
      <c r="G124" s="51" t="str">
        <f>VLOOKUP(appointments7[[#This Row],[Patient_ID]],Patients!$A:$K,7,FALSE)</f>
        <v>321 Maple Dr</v>
      </c>
      <c r="H124" s="52">
        <f>VLOOKUP(appointments7[[#This Row],[Patient_ID]],Patients!$A:$K,8,FALSE)</f>
        <v>45091</v>
      </c>
      <c r="I124" s="51" t="str">
        <f>VLOOKUP(appointments7[[#This Row],[Patient_ID]],Patients!$A:$K,11,FALSE)</f>
        <v>david.moore@mail.com</v>
      </c>
      <c r="J124" s="51" t="s">
        <v>48</v>
      </c>
      <c r="K124" s="51" t="s">
        <v>913</v>
      </c>
      <c r="L124" s="51" t="str">
        <f>VLOOKUP(appointments7[[#This Row],[Doctor_ID]],Doctors!$A:$H,4,FALSE)</f>
        <v>Pediatrics</v>
      </c>
      <c r="M124" s="51">
        <f>VLOOKUP(appointments7[[#This Row],[Doctor_ID]],Doctors!$A:$H,5,FALSE)</f>
        <v>9004382050</v>
      </c>
      <c r="N124" s="51" t="str">
        <f>VLOOKUP(appointments7[[#This Row],[Doctor_ID]],Doctors!$A:$H,7,FALSE)</f>
        <v>Eastside Clinic</v>
      </c>
      <c r="O124" s="52">
        <v>44985</v>
      </c>
      <c r="P124" s="53">
        <v>0.44791666666666674</v>
      </c>
      <c r="Q124" s="51" t="s">
        <v>10</v>
      </c>
      <c r="R124" s="51" t="s">
        <v>41</v>
      </c>
      <c r="S124" s="51" t="str">
        <f>VLOOKUP(appointments7[[#This Row],[Appointment_ID]],Treatments!$A:$F,2,FALSE)</f>
        <v>T123</v>
      </c>
      <c r="T124" s="51" t="str">
        <f>VLOOKUP(appointments7[[#This Row],[Appointment_ID]],Treatments!$A:$F,3,FALSE)</f>
        <v>Chemotherapy</v>
      </c>
      <c r="U124" s="54">
        <f>VLOOKUP(treatments[[#This Row],[appointment_id]],Treatments!$A:$F,5,FALSE)</f>
        <v>2064.0700000000002</v>
      </c>
      <c r="V124" s="52">
        <f>VLOOKUP(appointments7[[#This Row],[Appointment_ID]],Treatments!$A:$F,6,FALSE)</f>
        <v>44985</v>
      </c>
      <c r="W124" s="52" t="str">
        <f>VLOOKUP(appointments7[[#This Row],[Patient_ID]],Billing!$A:$G,2,FALSE)</f>
        <v>B024</v>
      </c>
      <c r="X124" s="52">
        <f>VLOOKUP(appointments7[[#This Row],[Patient_ID]],Billing!$A:$H,4,FALSE)</f>
        <v>45098</v>
      </c>
      <c r="Y124" s="54">
        <f>VLOOKUP(appointments7[[#This Row],[Patient_ID]],Billing!$A:$G,5,FALSE)</f>
        <v>3722.68</v>
      </c>
      <c r="Z124" s="54" t="str">
        <f>VLOOKUP(appointments7[[#This Row],[Patient_ID]],Billing!$A:$G,6,FALSE)</f>
        <v>Cash</v>
      </c>
      <c r="AA124" s="52" t="str">
        <f>VLOOKUP(appointments7[[#This Row],[Patient_ID]],Billing!$A:$G,7,FALSE)</f>
        <v>Pending</v>
      </c>
      <c r="AB124" s="2"/>
      <c r="AC124" s="2"/>
    </row>
    <row r="125" spans="1:29" x14ac:dyDescent="0.4">
      <c r="A125" s="51" t="s">
        <v>195</v>
      </c>
      <c r="B125" s="51" t="s">
        <v>142</v>
      </c>
      <c r="C125" s="51" t="s">
        <v>901</v>
      </c>
      <c r="D125" s="51" t="str">
        <f>VLOOKUP(appointments7[[#This Row],[Patient_ID]],Patients!$A:$K,4,FALSE)</f>
        <v>F</v>
      </c>
      <c r="E125" s="52">
        <f>VLOOKUP(appointments7[[#This Row],[Patient_ID]],Patients!$A:$K,5,FALSE)</f>
        <v>32960</v>
      </c>
      <c r="F125" s="51">
        <f>VLOOKUP(appointments7[[#This Row],[Patient_ID]],Patients!$A:$K,6,FALSE)</f>
        <v>9059178882</v>
      </c>
      <c r="G125" s="51" t="str">
        <f>VLOOKUP(appointments7[[#This Row],[Patient_ID]],Patients!$A:$K,7,FALSE)</f>
        <v>321 Maple Dr</v>
      </c>
      <c r="H125" s="52">
        <f>VLOOKUP(appointments7[[#This Row],[Patient_ID]],Patients!$A:$K,8,FALSE)</f>
        <v>44553</v>
      </c>
      <c r="I125" s="51" t="str">
        <f>VLOOKUP(appointments7[[#This Row],[Patient_ID]],Patients!$A:$K,11,FALSE)</f>
        <v>laura.johnson@mail.com</v>
      </c>
      <c r="J125" s="51" t="s">
        <v>54</v>
      </c>
      <c r="K125" s="51" t="s">
        <v>899</v>
      </c>
      <c r="L125" s="51" t="str">
        <f>VLOOKUP(appointments7[[#This Row],[Doctor_ID]],Doctors!$A:$H,4,FALSE)</f>
        <v>Dermatology</v>
      </c>
      <c r="M125" s="51">
        <f>VLOOKUP(appointments7[[#This Row],[Doctor_ID]],Doctors!$A:$H,5,FALSE)</f>
        <v>9069162601</v>
      </c>
      <c r="N125" s="51" t="str">
        <f>VLOOKUP(appointments7[[#This Row],[Doctor_ID]],Doctors!$A:$H,7,FALSE)</f>
        <v>Westside Clinic</v>
      </c>
      <c r="O125" s="52">
        <v>45001</v>
      </c>
      <c r="P125" s="53">
        <v>0.71875</v>
      </c>
      <c r="Q125" s="51" t="s">
        <v>26</v>
      </c>
      <c r="R125" s="51" t="s">
        <v>19</v>
      </c>
      <c r="S125" s="51" t="str">
        <f>VLOOKUP(appointments7[[#This Row],[Appointment_ID]],Treatments!$A:$F,2,FALSE)</f>
        <v>T124</v>
      </c>
      <c r="T125" s="51" t="str">
        <f>VLOOKUP(appointments7[[#This Row],[Appointment_ID]],Treatments!$A:$F,3,FALSE)</f>
        <v>Chemotherapy</v>
      </c>
      <c r="U125" s="54">
        <f>VLOOKUP(treatments[[#This Row],[appointment_id]],Treatments!$A:$F,5,FALSE)</f>
        <v>3492.1</v>
      </c>
      <c r="V125" s="52">
        <f>VLOOKUP(appointments7[[#This Row],[Appointment_ID]],Treatments!$A:$F,6,FALSE)</f>
        <v>45001</v>
      </c>
      <c r="W125" s="52" t="str">
        <f>VLOOKUP(appointments7[[#This Row],[Patient_ID]],Billing!$A:$G,2,FALSE)</f>
        <v>B078</v>
      </c>
      <c r="X125" s="52">
        <f>VLOOKUP(appointments7[[#This Row],[Patient_ID]],Billing!$A:$H,4,FALSE)</f>
        <v>45186</v>
      </c>
      <c r="Y125" s="54">
        <f>VLOOKUP(appointments7[[#This Row],[Patient_ID]],Billing!$A:$G,5,FALSE)</f>
        <v>3628.15</v>
      </c>
      <c r="Z125" s="54" t="str">
        <f>VLOOKUP(appointments7[[#This Row],[Patient_ID]],Billing!$A:$G,6,FALSE)</f>
        <v>Credit Card</v>
      </c>
      <c r="AA125" s="52" t="str">
        <f>VLOOKUP(appointments7[[#This Row],[Patient_ID]],Billing!$A:$G,7,FALSE)</f>
        <v>Paid</v>
      </c>
      <c r="AB125" s="2"/>
      <c r="AC125" s="2"/>
    </row>
    <row r="126" spans="1:29" x14ac:dyDescent="0.4">
      <c r="A126" s="51" t="s">
        <v>196</v>
      </c>
      <c r="B126" s="51" t="s">
        <v>90</v>
      </c>
      <c r="C126" s="51" t="s">
        <v>891</v>
      </c>
      <c r="D126" s="51" t="str">
        <f>VLOOKUP(appointments7[[#This Row],[Patient_ID]],Patients!$A:$K,4,FALSE)</f>
        <v>M</v>
      </c>
      <c r="E126" s="52">
        <f>VLOOKUP(appointments7[[#This Row],[Patient_ID]],Patients!$A:$K,5,FALSE)</f>
        <v>34387</v>
      </c>
      <c r="F126" s="51">
        <f>VLOOKUP(appointments7[[#This Row],[Patient_ID]],Patients!$A:$K,6,FALSE)</f>
        <v>6141951830</v>
      </c>
      <c r="G126" s="51" t="str">
        <f>VLOOKUP(appointments7[[#This Row],[Patient_ID]],Patients!$A:$K,7,FALSE)</f>
        <v>789 Pine Rd</v>
      </c>
      <c r="H126" s="52">
        <f>VLOOKUP(appointments7[[#This Row],[Patient_ID]],Patients!$A:$K,8,FALSE)</f>
        <v>44557</v>
      </c>
      <c r="I126" s="51" t="str">
        <f>VLOOKUP(appointments7[[#This Row],[Patient_ID]],Patients!$A:$K,11,FALSE)</f>
        <v>linda.johnson@mail.com</v>
      </c>
      <c r="J126" s="51" t="s">
        <v>32</v>
      </c>
      <c r="K126" s="51" t="s">
        <v>911</v>
      </c>
      <c r="L126" s="51" t="str">
        <f>VLOOKUP(appointments7[[#This Row],[Doctor_ID]],Doctors!$A:$H,4,FALSE)</f>
        <v>Oncology</v>
      </c>
      <c r="M126" s="51">
        <f>VLOOKUP(appointments7[[#This Row],[Doctor_ID]],Doctors!$A:$H,5,FALSE)</f>
        <v>8217493115</v>
      </c>
      <c r="N126" s="51" t="str">
        <f>VLOOKUP(appointments7[[#This Row],[Doctor_ID]],Doctors!$A:$H,7,FALSE)</f>
        <v>Westside Clinic</v>
      </c>
      <c r="O126" s="52">
        <v>44975</v>
      </c>
      <c r="P126" s="53">
        <v>0.42708333333333326</v>
      </c>
      <c r="Q126" s="51" t="s">
        <v>29</v>
      </c>
      <c r="R126" s="51" t="s">
        <v>41</v>
      </c>
      <c r="S126" s="51" t="str">
        <f>VLOOKUP(appointments7[[#This Row],[Appointment_ID]],Treatments!$A:$F,2,FALSE)</f>
        <v>T125</v>
      </c>
      <c r="T126" s="51" t="str">
        <f>VLOOKUP(appointments7[[#This Row],[Appointment_ID]],Treatments!$A:$F,3,FALSE)</f>
        <v>Physiotherapy</v>
      </c>
      <c r="U126" s="54">
        <f>VLOOKUP(treatments[[#This Row],[appointment_id]],Treatments!$A:$F,5,FALSE)</f>
        <v>4079.52</v>
      </c>
      <c r="V126" s="52">
        <f>VLOOKUP(appointments7[[#This Row],[Appointment_ID]],Treatments!$A:$F,6,FALSE)</f>
        <v>44975</v>
      </c>
      <c r="W126" s="52" t="str">
        <f>VLOOKUP(appointments7[[#This Row],[Patient_ID]],Billing!$A:$G,2,FALSE)</f>
        <v>B039</v>
      </c>
      <c r="X126" s="52">
        <f>VLOOKUP(appointments7[[#This Row],[Patient_ID]],Billing!$A:$H,4,FALSE)</f>
        <v>45033</v>
      </c>
      <c r="Y126" s="54">
        <f>VLOOKUP(appointments7[[#This Row],[Patient_ID]],Billing!$A:$G,5,FALSE)</f>
        <v>2976.02</v>
      </c>
      <c r="Z126" s="54" t="str">
        <f>VLOOKUP(appointments7[[#This Row],[Patient_ID]],Billing!$A:$G,6,FALSE)</f>
        <v>Insurance</v>
      </c>
      <c r="AA126" s="52" t="str">
        <f>VLOOKUP(appointments7[[#This Row],[Patient_ID]],Billing!$A:$G,7,FALSE)</f>
        <v>Failed</v>
      </c>
      <c r="AB126" s="2"/>
      <c r="AC126" s="2"/>
    </row>
    <row r="127" spans="1:29" x14ac:dyDescent="0.4">
      <c r="A127" s="51" t="s">
        <v>197</v>
      </c>
      <c r="B127" s="51" t="s">
        <v>21</v>
      </c>
      <c r="C127" s="51" t="s">
        <v>873</v>
      </c>
      <c r="D127" s="51" t="str">
        <f>VLOOKUP(appointments7[[#This Row],[Patient_ID]],Patients!$A:$K,4,FALSE)</f>
        <v>M</v>
      </c>
      <c r="E127" s="52">
        <f>VLOOKUP(appointments7[[#This Row],[Patient_ID]],Patients!$A:$K,5,FALSE)</f>
        <v>24333</v>
      </c>
      <c r="F127" s="51">
        <f>VLOOKUP(appointments7[[#This Row],[Patient_ID]],Patients!$A:$K,6,FALSE)</f>
        <v>7482069727</v>
      </c>
      <c r="G127" s="51" t="str">
        <f>VLOOKUP(appointments7[[#This Row],[Patient_ID]],Patients!$A:$K,7,FALSE)</f>
        <v>123 Elm St</v>
      </c>
      <c r="H127" s="52">
        <f>VLOOKUP(appointments7[[#This Row],[Patient_ID]],Patients!$A:$K,8,FALSE)</f>
        <v>44448</v>
      </c>
      <c r="I127" s="51" t="str">
        <f>VLOOKUP(appointments7[[#This Row],[Patient_ID]],Patients!$A:$K,11,FALSE)</f>
        <v>robert.wilson@mail.com</v>
      </c>
      <c r="J127" s="51" t="s">
        <v>35</v>
      </c>
      <c r="K127" s="51" t="s">
        <v>912</v>
      </c>
      <c r="L127" s="51" t="str">
        <f>VLOOKUP(appointments7[[#This Row],[Doctor_ID]],Doctors!$A:$H,4,FALSE)</f>
        <v>Oncology</v>
      </c>
      <c r="M127" s="51">
        <f>VLOOKUP(appointments7[[#This Row],[Doctor_ID]],Doctors!$A:$H,5,FALSE)</f>
        <v>6176383634</v>
      </c>
      <c r="N127" s="51" t="str">
        <f>VLOOKUP(appointments7[[#This Row],[Doctor_ID]],Doctors!$A:$H,7,FALSE)</f>
        <v>Eastside Clinic</v>
      </c>
      <c r="O127" s="52">
        <v>45232</v>
      </c>
      <c r="P127" s="53">
        <v>0.40625</v>
      </c>
      <c r="Q127" s="51" t="s">
        <v>26</v>
      </c>
      <c r="R127" s="51" t="s">
        <v>11</v>
      </c>
      <c r="S127" s="51" t="str">
        <f>VLOOKUP(appointments7[[#This Row],[Appointment_ID]],Treatments!$A:$F,2,FALSE)</f>
        <v>T126</v>
      </c>
      <c r="T127" s="51" t="str">
        <f>VLOOKUP(appointments7[[#This Row],[Appointment_ID]],Treatments!$A:$F,3,FALSE)</f>
        <v>ECG</v>
      </c>
      <c r="U127" s="54">
        <f>VLOOKUP(treatments[[#This Row],[appointment_id]],Treatments!$A:$F,5,FALSE)</f>
        <v>4672.3</v>
      </c>
      <c r="V127" s="52">
        <f>VLOOKUP(appointments7[[#This Row],[Appointment_ID]],Treatments!$A:$F,6,FALSE)</f>
        <v>45232</v>
      </c>
      <c r="W127" s="52" t="str">
        <f>VLOOKUP(appointments7[[#This Row],[Patient_ID]],Billing!$A:$G,2,FALSE)</f>
        <v>B004</v>
      </c>
      <c r="X127" s="52">
        <f>VLOOKUP(appointments7[[#This Row],[Patient_ID]],Billing!$A:$H,4,FALSE)</f>
        <v>45170</v>
      </c>
      <c r="Y127" s="54">
        <f>VLOOKUP(appointments7[[#This Row],[Patient_ID]],Billing!$A:$G,5,FALSE)</f>
        <v>4799.8599999999997</v>
      </c>
      <c r="Z127" s="54" t="str">
        <f>VLOOKUP(appointments7[[#This Row],[Patient_ID]],Billing!$A:$G,6,FALSE)</f>
        <v>Insurance</v>
      </c>
      <c r="AA127" s="52" t="str">
        <f>VLOOKUP(appointments7[[#This Row],[Patient_ID]],Billing!$A:$G,7,FALSE)</f>
        <v>Failed</v>
      </c>
      <c r="AB127" s="2"/>
      <c r="AC127" s="2"/>
    </row>
    <row r="128" spans="1:29" x14ac:dyDescent="0.4">
      <c r="A128" s="51" t="s">
        <v>198</v>
      </c>
      <c r="B128" s="51" t="s">
        <v>125</v>
      </c>
      <c r="C128" s="51" t="s">
        <v>879</v>
      </c>
      <c r="D128" s="51" t="str">
        <f>VLOOKUP(appointments7[[#This Row],[Patient_ID]],Patients!$A:$K,4,FALSE)</f>
        <v>F</v>
      </c>
      <c r="E128" s="52">
        <f>VLOOKUP(appointments7[[#This Row],[Patient_ID]],Patients!$A:$K,5,FALSE)</f>
        <v>34072</v>
      </c>
      <c r="F128" s="51">
        <f>VLOOKUP(appointments7[[#This Row],[Patient_ID]],Patients!$A:$K,6,FALSE)</f>
        <v>7039619487</v>
      </c>
      <c r="G128" s="51" t="str">
        <f>VLOOKUP(appointments7[[#This Row],[Patient_ID]],Patients!$A:$K,7,FALSE)</f>
        <v>123 Elm St</v>
      </c>
      <c r="H128" s="52">
        <f>VLOOKUP(appointments7[[#This Row],[Patient_ID]],Patients!$A:$K,8,FALSE)</f>
        <v>45116</v>
      </c>
      <c r="I128" s="51" t="str">
        <f>VLOOKUP(appointments7[[#This Row],[Patient_ID]],Patients!$A:$K,11,FALSE)</f>
        <v>david.wilson@mail.com</v>
      </c>
      <c r="J128" s="51" t="s">
        <v>35</v>
      </c>
      <c r="K128" s="51" t="s">
        <v>912</v>
      </c>
      <c r="L128" s="51" t="str">
        <f>VLOOKUP(appointments7[[#This Row],[Doctor_ID]],Doctors!$A:$H,4,FALSE)</f>
        <v>Oncology</v>
      </c>
      <c r="M128" s="51">
        <f>VLOOKUP(appointments7[[#This Row],[Doctor_ID]],Doctors!$A:$H,5,FALSE)</f>
        <v>6176383634</v>
      </c>
      <c r="N128" s="51" t="str">
        <f>VLOOKUP(appointments7[[#This Row],[Doctor_ID]],Doctors!$A:$H,7,FALSE)</f>
        <v>Eastside Clinic</v>
      </c>
      <c r="O128" s="52">
        <v>45243</v>
      </c>
      <c r="P128" s="53">
        <v>0.35416666666666674</v>
      </c>
      <c r="Q128" s="51" t="s">
        <v>29</v>
      </c>
      <c r="R128" s="51" t="s">
        <v>15</v>
      </c>
      <c r="S128" s="51" t="str">
        <f>VLOOKUP(appointments7[[#This Row],[Appointment_ID]],Treatments!$A:$F,2,FALSE)</f>
        <v>T127</v>
      </c>
      <c r="T128" s="51" t="str">
        <f>VLOOKUP(appointments7[[#This Row],[Appointment_ID]],Treatments!$A:$F,3,FALSE)</f>
        <v>Physiotherapy</v>
      </c>
      <c r="U128" s="54">
        <f>VLOOKUP(treatments[[#This Row],[appointment_id]],Treatments!$A:$F,5,FALSE)</f>
        <v>1555.89</v>
      </c>
      <c r="V128" s="52">
        <f>VLOOKUP(appointments7[[#This Row],[Appointment_ID]],Treatments!$A:$F,6,FALSE)</f>
        <v>45243</v>
      </c>
      <c r="W128" s="52" t="str">
        <f>VLOOKUP(appointments7[[#This Row],[Patient_ID]],Billing!$A:$G,2,FALSE)</f>
        <v>B064</v>
      </c>
      <c r="X128" s="52">
        <f>VLOOKUP(appointments7[[#This Row],[Patient_ID]],Billing!$A:$H,4,FALSE)</f>
        <v>45077</v>
      </c>
      <c r="Y128" s="54">
        <f>VLOOKUP(appointments7[[#This Row],[Patient_ID]],Billing!$A:$G,5,FALSE)</f>
        <v>3815.93</v>
      </c>
      <c r="Z128" s="54" t="str">
        <f>VLOOKUP(appointments7[[#This Row],[Patient_ID]],Billing!$A:$G,6,FALSE)</f>
        <v>Cash</v>
      </c>
      <c r="AA128" s="52" t="str">
        <f>VLOOKUP(appointments7[[#This Row],[Patient_ID]],Billing!$A:$G,7,FALSE)</f>
        <v>Paid</v>
      </c>
      <c r="AB128" s="2"/>
      <c r="AC128" s="2"/>
    </row>
    <row r="129" spans="1:29" x14ac:dyDescent="0.4">
      <c r="A129" s="51" t="s">
        <v>199</v>
      </c>
      <c r="B129" s="51" t="s">
        <v>161</v>
      </c>
      <c r="C129" s="51" t="s">
        <v>885</v>
      </c>
      <c r="D129" s="51" t="str">
        <f>VLOOKUP(appointments7[[#This Row],[Patient_ID]],Patients!$A:$K,4,FALSE)</f>
        <v>M</v>
      </c>
      <c r="E129" s="52">
        <f>VLOOKUP(appointments7[[#This Row],[Patient_ID]],Patients!$A:$K,5,FALSE)</f>
        <v>18798</v>
      </c>
      <c r="F129" s="51">
        <f>VLOOKUP(appointments7[[#This Row],[Patient_ID]],Patients!$A:$K,6,FALSE)</f>
        <v>7020645498</v>
      </c>
      <c r="G129" s="51" t="str">
        <f>VLOOKUP(appointments7[[#This Row],[Patient_ID]],Patients!$A:$K,7,FALSE)</f>
        <v>456 Oak Ave</v>
      </c>
      <c r="H129" s="52">
        <f>VLOOKUP(appointments7[[#This Row],[Patient_ID]],Patients!$A:$K,8,FALSE)</f>
        <v>44758</v>
      </c>
      <c r="I129" s="51" t="str">
        <f>VLOOKUP(appointments7[[#This Row],[Patient_ID]],Patients!$A:$K,11,FALSE)</f>
        <v>robert.williams@mail.com</v>
      </c>
      <c r="J129" s="51" t="s">
        <v>48</v>
      </c>
      <c r="K129" s="51" t="s">
        <v>913</v>
      </c>
      <c r="L129" s="51" t="str">
        <f>VLOOKUP(appointments7[[#This Row],[Doctor_ID]],Doctors!$A:$H,4,FALSE)</f>
        <v>Pediatrics</v>
      </c>
      <c r="M129" s="51">
        <f>VLOOKUP(appointments7[[#This Row],[Doctor_ID]],Doctors!$A:$H,5,FALSE)</f>
        <v>9004382050</v>
      </c>
      <c r="N129" s="51" t="str">
        <f>VLOOKUP(appointments7[[#This Row],[Doctor_ID]],Doctors!$A:$H,7,FALSE)</f>
        <v>Eastside Clinic</v>
      </c>
      <c r="O129" s="52">
        <v>45031</v>
      </c>
      <c r="P129" s="53">
        <v>0.61458333333333326</v>
      </c>
      <c r="Q129" s="51" t="s">
        <v>38</v>
      </c>
      <c r="R129" s="51" t="s">
        <v>41</v>
      </c>
      <c r="S129" s="51" t="str">
        <f>VLOOKUP(appointments7[[#This Row],[Appointment_ID]],Treatments!$A:$F,2,FALSE)</f>
        <v>T128</v>
      </c>
      <c r="T129" s="51" t="str">
        <f>VLOOKUP(appointments7[[#This Row],[Appointment_ID]],Treatments!$A:$F,3,FALSE)</f>
        <v>MRI</v>
      </c>
      <c r="U129" s="54">
        <f>VLOOKUP(treatments[[#This Row],[appointment_id]],Treatments!$A:$F,5,FALSE)</f>
        <v>2296.92</v>
      </c>
      <c r="V129" s="52">
        <f>VLOOKUP(appointments7[[#This Row],[Appointment_ID]],Treatments!$A:$F,6,FALSE)</f>
        <v>45031</v>
      </c>
      <c r="W129" s="52" t="str">
        <f>VLOOKUP(appointments7[[#This Row],[Patient_ID]],Billing!$A:$G,2,FALSE)</f>
        <v>B094</v>
      </c>
      <c r="X129" s="52">
        <f>VLOOKUP(appointments7[[#This Row],[Patient_ID]],Billing!$A:$H,4,FALSE)</f>
        <v>45024</v>
      </c>
      <c r="Y129" s="54">
        <f>VLOOKUP(appointments7[[#This Row],[Patient_ID]],Billing!$A:$G,5,FALSE)</f>
        <v>1519.95</v>
      </c>
      <c r="Z129" s="54" t="str">
        <f>VLOOKUP(appointments7[[#This Row],[Patient_ID]],Billing!$A:$G,6,FALSE)</f>
        <v>Cash</v>
      </c>
      <c r="AA129" s="52" t="str">
        <f>VLOOKUP(appointments7[[#This Row],[Patient_ID]],Billing!$A:$G,7,FALSE)</f>
        <v>Failed</v>
      </c>
      <c r="AB129" s="2"/>
      <c r="AC129" s="2"/>
    </row>
    <row r="130" spans="1:29" x14ac:dyDescent="0.4">
      <c r="A130" s="51" t="s">
        <v>200</v>
      </c>
      <c r="B130" s="51" t="s">
        <v>70</v>
      </c>
      <c r="C130" s="51" t="s">
        <v>889</v>
      </c>
      <c r="D130" s="51" t="str">
        <f>VLOOKUP(appointments7[[#This Row],[Patient_ID]],Patients!$A:$K,4,FALSE)</f>
        <v>M</v>
      </c>
      <c r="E130" s="52">
        <f>VLOOKUP(appointments7[[#This Row],[Patient_ID]],Patients!$A:$K,5,FALSE)</f>
        <v>23734</v>
      </c>
      <c r="F130" s="51">
        <f>VLOOKUP(appointments7[[#This Row],[Patient_ID]],Patients!$A:$K,6,FALSE)</f>
        <v>6622318721</v>
      </c>
      <c r="G130" s="51" t="str">
        <f>VLOOKUP(appointments7[[#This Row],[Patient_ID]],Patients!$A:$K,7,FALSE)</f>
        <v>456 Oak Ave</v>
      </c>
      <c r="H130" s="52">
        <f>VLOOKUP(appointments7[[#This Row],[Patient_ID]],Patients!$A:$K,8,FALSE)</f>
        <v>44415</v>
      </c>
      <c r="I130" s="51" t="str">
        <f>VLOOKUP(appointments7[[#This Row],[Patient_ID]],Patients!$A:$K,11,FALSE)</f>
        <v>emily.moore@mail.com</v>
      </c>
      <c r="J130" s="51" t="s">
        <v>22</v>
      </c>
      <c r="K130" s="51" t="s">
        <v>910</v>
      </c>
      <c r="L130" s="51" t="str">
        <f>VLOOKUP(appointments7[[#This Row],[Doctor_ID]],Doctors!$A:$H,4,FALSE)</f>
        <v>Pediatrics</v>
      </c>
      <c r="M130" s="51">
        <f>VLOOKUP(appointments7[[#This Row],[Doctor_ID]],Doctors!$A:$H,5,FALSE)</f>
        <v>6570137231</v>
      </c>
      <c r="N130" s="51" t="str">
        <f>VLOOKUP(appointments7[[#This Row],[Doctor_ID]],Doctors!$A:$H,7,FALSE)</f>
        <v>Central Hospital</v>
      </c>
      <c r="O130" s="52">
        <v>45163</v>
      </c>
      <c r="P130" s="53">
        <v>0.39583333333333326</v>
      </c>
      <c r="Q130" s="51" t="s">
        <v>29</v>
      </c>
      <c r="R130" s="51" t="s">
        <v>19</v>
      </c>
      <c r="S130" s="51" t="str">
        <f>VLOOKUP(appointments7[[#This Row],[Appointment_ID]],Treatments!$A:$F,2,FALSE)</f>
        <v>T129</v>
      </c>
      <c r="T130" s="51" t="str">
        <f>VLOOKUP(appointments7[[#This Row],[Appointment_ID]],Treatments!$A:$F,3,FALSE)</f>
        <v>X-Ray</v>
      </c>
      <c r="U130" s="54">
        <f>VLOOKUP(treatments[[#This Row],[appointment_id]],Treatments!$A:$F,5,FALSE)</f>
        <v>1185.8699999999999</v>
      </c>
      <c r="V130" s="52">
        <f>VLOOKUP(appointments7[[#This Row],[Appointment_ID]],Treatments!$A:$F,6,FALSE)</f>
        <v>45163</v>
      </c>
      <c r="W130" s="52" t="str">
        <f>VLOOKUP(appointments7[[#This Row],[Patient_ID]],Billing!$A:$G,2,FALSE)</f>
        <v>B025</v>
      </c>
      <c r="X130" s="52">
        <f>VLOOKUP(appointments7[[#This Row],[Patient_ID]],Billing!$A:$H,4,FALSE)</f>
        <v>44982</v>
      </c>
      <c r="Y130" s="54">
        <f>VLOOKUP(appointments7[[#This Row],[Patient_ID]],Billing!$A:$G,5,FALSE)</f>
        <v>1726.81</v>
      </c>
      <c r="Z130" s="54" t="str">
        <f>VLOOKUP(appointments7[[#This Row],[Patient_ID]],Billing!$A:$G,6,FALSE)</f>
        <v>Cash</v>
      </c>
      <c r="AA130" s="52" t="str">
        <f>VLOOKUP(appointments7[[#This Row],[Patient_ID]],Billing!$A:$G,7,FALSE)</f>
        <v>Failed</v>
      </c>
      <c r="AB130" s="2"/>
      <c r="AC130" s="2"/>
    </row>
    <row r="131" spans="1:29" x14ac:dyDescent="0.4">
      <c r="A131" s="51" t="s">
        <v>201</v>
      </c>
      <c r="B131" s="51" t="s">
        <v>151</v>
      </c>
      <c r="C131" s="51" t="s">
        <v>902</v>
      </c>
      <c r="D131" s="51" t="str">
        <f>VLOOKUP(appointments7[[#This Row],[Patient_ID]],Patients!$A:$K,4,FALSE)</f>
        <v>M</v>
      </c>
      <c r="E131" s="52">
        <f>VLOOKUP(appointments7[[#This Row],[Patient_ID]],Patients!$A:$K,5,FALSE)</f>
        <v>33359</v>
      </c>
      <c r="F131" s="51">
        <f>VLOOKUP(appointments7[[#This Row],[Patient_ID]],Patients!$A:$K,6,FALSE)</f>
        <v>6158428240</v>
      </c>
      <c r="G131" s="51" t="str">
        <f>VLOOKUP(appointments7[[#This Row],[Patient_ID]],Patients!$A:$K,7,FALSE)</f>
        <v>456 Oak Ave</v>
      </c>
      <c r="H131" s="52">
        <f>VLOOKUP(appointments7[[#This Row],[Patient_ID]],Patients!$A:$K,8,FALSE)</f>
        <v>44830</v>
      </c>
      <c r="I131" s="51" t="str">
        <f>VLOOKUP(appointments7[[#This Row],[Patient_ID]],Patients!$A:$K,11,FALSE)</f>
        <v>jane.jones@mail.com</v>
      </c>
      <c r="J131" s="51" t="s">
        <v>22</v>
      </c>
      <c r="K131" s="51" t="s">
        <v>910</v>
      </c>
      <c r="L131" s="51" t="str">
        <f>VLOOKUP(appointments7[[#This Row],[Doctor_ID]],Doctors!$A:$H,4,FALSE)</f>
        <v>Pediatrics</v>
      </c>
      <c r="M131" s="51">
        <f>VLOOKUP(appointments7[[#This Row],[Doctor_ID]],Doctors!$A:$H,5,FALSE)</f>
        <v>6570137231</v>
      </c>
      <c r="N131" s="51" t="str">
        <f>VLOOKUP(appointments7[[#This Row],[Doctor_ID]],Doctors!$A:$H,7,FALSE)</f>
        <v>Central Hospital</v>
      </c>
      <c r="O131" s="52">
        <v>44980</v>
      </c>
      <c r="P131" s="53">
        <v>0.625</v>
      </c>
      <c r="Q131" s="51" t="s">
        <v>26</v>
      </c>
      <c r="R131" s="51" t="s">
        <v>15</v>
      </c>
      <c r="S131" s="51" t="str">
        <f>VLOOKUP(appointments7[[#This Row],[Appointment_ID]],Treatments!$A:$F,2,FALSE)</f>
        <v>T130</v>
      </c>
      <c r="T131" s="51" t="str">
        <f>VLOOKUP(appointments7[[#This Row],[Appointment_ID]],Treatments!$A:$F,3,FALSE)</f>
        <v>MRI</v>
      </c>
      <c r="U131" s="54">
        <f>VLOOKUP(treatments[[#This Row],[appointment_id]],Treatments!$A:$F,5,FALSE)</f>
        <v>4966.18</v>
      </c>
      <c r="V131" s="52">
        <f>VLOOKUP(appointments7[[#This Row],[Appointment_ID]],Treatments!$A:$F,6,FALSE)</f>
        <v>44980</v>
      </c>
      <c r="W131" s="52" t="str">
        <f>VLOOKUP(appointments7[[#This Row],[Patient_ID]],Billing!$A:$G,2,FALSE)</f>
        <v>B086</v>
      </c>
      <c r="X131" s="52">
        <f>VLOOKUP(appointments7[[#This Row],[Patient_ID]],Billing!$A:$H,4,FALSE)</f>
        <v>45228</v>
      </c>
      <c r="Y131" s="54">
        <f>VLOOKUP(appointments7[[#This Row],[Patient_ID]],Billing!$A:$G,5,FALSE)</f>
        <v>3759.52</v>
      </c>
      <c r="Z131" s="54" t="str">
        <f>VLOOKUP(appointments7[[#This Row],[Patient_ID]],Billing!$A:$G,6,FALSE)</f>
        <v>Cash</v>
      </c>
      <c r="AA131" s="52" t="str">
        <f>VLOOKUP(appointments7[[#This Row],[Patient_ID]],Billing!$A:$G,7,FALSE)</f>
        <v>Pending</v>
      </c>
      <c r="AB131" s="2"/>
      <c r="AC131" s="2"/>
    </row>
    <row r="132" spans="1:29" x14ac:dyDescent="0.4">
      <c r="A132" s="51" t="s">
        <v>202</v>
      </c>
      <c r="B132" s="51" t="s">
        <v>68</v>
      </c>
      <c r="C132" s="51" t="s">
        <v>888</v>
      </c>
      <c r="D132" s="51" t="str">
        <f>VLOOKUP(appointments7[[#This Row],[Patient_ID]],Patients!$A:$K,4,FALSE)</f>
        <v>M</v>
      </c>
      <c r="E132" s="52">
        <f>VLOOKUP(appointments7[[#This Row],[Patient_ID]],Patients!$A:$K,5,FALSE)</f>
        <v>26629</v>
      </c>
      <c r="F132" s="51">
        <f>VLOOKUP(appointments7[[#This Row],[Patient_ID]],Patients!$A:$K,6,FALSE)</f>
        <v>7712937941</v>
      </c>
      <c r="G132" s="51" t="str">
        <f>VLOOKUP(appointments7[[#This Row],[Patient_ID]],Patients!$A:$K,7,FALSE)</f>
        <v>321 Maple Dr</v>
      </c>
      <c r="H132" s="52">
        <f>VLOOKUP(appointments7[[#This Row],[Patient_ID]],Patients!$A:$K,8,FALSE)</f>
        <v>45091</v>
      </c>
      <c r="I132" s="51" t="str">
        <f>VLOOKUP(appointments7[[#This Row],[Patient_ID]],Patients!$A:$K,11,FALSE)</f>
        <v>david.moore@mail.com</v>
      </c>
      <c r="J132" s="51" t="s">
        <v>25</v>
      </c>
      <c r="K132" s="51" t="s">
        <v>906</v>
      </c>
      <c r="L132" s="51" t="str">
        <f>VLOOKUP(appointments7[[#This Row],[Doctor_ID]],Doctors!$A:$H,4,FALSE)</f>
        <v>Pediatrics</v>
      </c>
      <c r="M132" s="51">
        <f>VLOOKUP(appointments7[[#This Row],[Doctor_ID]],Doctors!$A:$H,5,FALSE)</f>
        <v>8737740598</v>
      </c>
      <c r="N132" s="51" t="str">
        <f>VLOOKUP(appointments7[[#This Row],[Doctor_ID]],Doctors!$A:$H,7,FALSE)</f>
        <v>Eastside Clinic</v>
      </c>
      <c r="O132" s="52">
        <v>45057</v>
      </c>
      <c r="P132" s="53">
        <v>0.6875</v>
      </c>
      <c r="Q132" s="51" t="s">
        <v>10</v>
      </c>
      <c r="R132" s="51" t="s">
        <v>15</v>
      </c>
      <c r="S132" s="51" t="str">
        <f>VLOOKUP(appointments7[[#This Row],[Appointment_ID]],Treatments!$A:$F,2,FALSE)</f>
        <v>T131</v>
      </c>
      <c r="T132" s="51" t="str">
        <f>VLOOKUP(appointments7[[#This Row],[Appointment_ID]],Treatments!$A:$F,3,FALSE)</f>
        <v>Chemotherapy</v>
      </c>
      <c r="U132" s="54">
        <f>VLOOKUP(treatments[[#This Row],[appointment_id]],Treatments!$A:$F,5,FALSE)</f>
        <v>4671.5</v>
      </c>
      <c r="V132" s="52">
        <f>VLOOKUP(appointments7[[#This Row],[Appointment_ID]],Treatments!$A:$F,6,FALSE)</f>
        <v>45057</v>
      </c>
      <c r="W132" s="52" t="str">
        <f>VLOOKUP(appointments7[[#This Row],[Patient_ID]],Billing!$A:$G,2,FALSE)</f>
        <v>B024</v>
      </c>
      <c r="X132" s="52">
        <f>VLOOKUP(appointments7[[#This Row],[Patient_ID]],Billing!$A:$H,4,FALSE)</f>
        <v>45098</v>
      </c>
      <c r="Y132" s="54">
        <f>VLOOKUP(appointments7[[#This Row],[Patient_ID]],Billing!$A:$G,5,FALSE)</f>
        <v>3722.68</v>
      </c>
      <c r="Z132" s="54" t="str">
        <f>VLOOKUP(appointments7[[#This Row],[Patient_ID]],Billing!$A:$G,6,FALSE)</f>
        <v>Cash</v>
      </c>
      <c r="AA132" s="52" t="str">
        <f>VLOOKUP(appointments7[[#This Row],[Patient_ID]],Billing!$A:$G,7,FALSE)</f>
        <v>Pending</v>
      </c>
      <c r="AB132" s="2"/>
      <c r="AC132" s="2"/>
    </row>
    <row r="133" spans="1:29" x14ac:dyDescent="0.4">
      <c r="A133" s="51" t="s">
        <v>203</v>
      </c>
      <c r="B133" s="51" t="s">
        <v>119</v>
      </c>
      <c r="C133" s="51" t="s">
        <v>887</v>
      </c>
      <c r="D133" s="51" t="str">
        <f>VLOOKUP(appointments7[[#This Row],[Patient_ID]],Patients!$A:$K,4,FALSE)</f>
        <v>F</v>
      </c>
      <c r="E133" s="52">
        <f>VLOOKUP(appointments7[[#This Row],[Patient_ID]],Patients!$A:$K,5,FALSE)</f>
        <v>37778</v>
      </c>
      <c r="F133" s="51">
        <f>VLOOKUP(appointments7[[#This Row],[Patient_ID]],Patients!$A:$K,6,FALSE)</f>
        <v>8158989953</v>
      </c>
      <c r="G133" s="51" t="str">
        <f>VLOOKUP(appointments7[[#This Row],[Patient_ID]],Patients!$A:$K,7,FALSE)</f>
        <v>789 Pine Rd</v>
      </c>
      <c r="H133" s="52">
        <f>VLOOKUP(appointments7[[#This Row],[Patient_ID]],Patients!$A:$K,8,FALSE)</f>
        <v>44654</v>
      </c>
      <c r="I133" s="51" t="str">
        <f>VLOOKUP(appointments7[[#This Row],[Patient_ID]],Patients!$A:$K,11,FALSE)</f>
        <v>jane.moore@mail.com</v>
      </c>
      <c r="J133" s="51" t="s">
        <v>48</v>
      </c>
      <c r="K133" s="51" t="s">
        <v>913</v>
      </c>
      <c r="L133" s="51" t="str">
        <f>VLOOKUP(appointments7[[#This Row],[Doctor_ID]],Doctors!$A:$H,4,FALSE)</f>
        <v>Pediatrics</v>
      </c>
      <c r="M133" s="51">
        <f>VLOOKUP(appointments7[[#This Row],[Doctor_ID]],Doctors!$A:$H,5,FALSE)</f>
        <v>9004382050</v>
      </c>
      <c r="N133" s="51" t="str">
        <f>VLOOKUP(appointments7[[#This Row],[Doctor_ID]],Doctors!$A:$H,7,FALSE)</f>
        <v>Eastside Clinic</v>
      </c>
      <c r="O133" s="52">
        <v>45133</v>
      </c>
      <c r="P133" s="53">
        <v>0.44791666666666674</v>
      </c>
      <c r="Q133" s="51" t="s">
        <v>29</v>
      </c>
      <c r="R133" s="51" t="s">
        <v>19</v>
      </c>
      <c r="S133" s="51" t="str">
        <f>VLOOKUP(appointments7[[#This Row],[Appointment_ID]],Treatments!$A:$F,2,FALSE)</f>
        <v>T132</v>
      </c>
      <c r="T133" s="51" t="str">
        <f>VLOOKUP(appointments7[[#This Row],[Appointment_ID]],Treatments!$A:$F,3,FALSE)</f>
        <v>Physiotherapy</v>
      </c>
      <c r="U133" s="54">
        <f>VLOOKUP(treatments[[#This Row],[appointment_id]],Treatments!$A:$F,5,FALSE)</f>
        <v>2929.81</v>
      </c>
      <c r="V133" s="52">
        <f>VLOOKUP(appointments7[[#This Row],[Appointment_ID]],Treatments!$A:$F,6,FALSE)</f>
        <v>45133</v>
      </c>
      <c r="W133" s="52" t="str">
        <f>VLOOKUP(appointments7[[#This Row],[Patient_ID]],Billing!$A:$G,2,FALSE)</f>
        <v>B060</v>
      </c>
      <c r="X133" s="52">
        <f>VLOOKUP(appointments7[[#This Row],[Patient_ID]],Billing!$A:$H,4,FALSE)</f>
        <v>45252</v>
      </c>
      <c r="Y133" s="54">
        <f>VLOOKUP(appointments7[[#This Row],[Patient_ID]],Billing!$A:$G,5,FALSE)</f>
        <v>3307.37</v>
      </c>
      <c r="Z133" s="54" t="str">
        <f>VLOOKUP(appointments7[[#This Row],[Patient_ID]],Billing!$A:$G,6,FALSE)</f>
        <v>Insurance</v>
      </c>
      <c r="AA133" s="52" t="str">
        <f>VLOOKUP(appointments7[[#This Row],[Patient_ID]],Billing!$A:$G,7,FALSE)</f>
        <v>Pending</v>
      </c>
      <c r="AB133" s="2"/>
      <c r="AC133" s="2"/>
    </row>
    <row r="134" spans="1:29" x14ac:dyDescent="0.4">
      <c r="A134" s="51" t="s">
        <v>204</v>
      </c>
      <c r="B134" s="51" t="s">
        <v>17</v>
      </c>
      <c r="C134" s="51" t="s">
        <v>872</v>
      </c>
      <c r="D134" s="51" t="str">
        <f>VLOOKUP(appointments7[[#This Row],[Patient_ID]],Patients!$A:$K,4,FALSE)</f>
        <v>M</v>
      </c>
      <c r="E134" s="52">
        <f>VLOOKUP(appointments7[[#This Row],[Patient_ID]],Patients!$A:$K,5,FALSE)</f>
        <v>30399</v>
      </c>
      <c r="F134" s="51">
        <f>VLOOKUP(appointments7[[#This Row],[Patient_ID]],Patients!$A:$K,6,FALSE)</f>
        <v>8720989381</v>
      </c>
      <c r="G134" s="51" t="str">
        <f>VLOOKUP(appointments7[[#This Row],[Patient_ID]],Patients!$A:$K,7,FALSE)</f>
        <v>123 Elm St</v>
      </c>
      <c r="H134" s="52">
        <f>VLOOKUP(appointments7[[#This Row],[Patient_ID]],Patients!$A:$K,8,FALSE)</f>
        <v>45096</v>
      </c>
      <c r="I134" s="51" t="str">
        <f>VLOOKUP(appointments7[[#This Row],[Patient_ID]],Patients!$A:$K,11,FALSE)</f>
        <v>emily.miller@mail.com</v>
      </c>
      <c r="J134" s="51" t="s">
        <v>59</v>
      </c>
      <c r="K134" s="51" t="s">
        <v>914</v>
      </c>
      <c r="L134" s="51" t="str">
        <f>VLOOKUP(appointments7[[#This Row],[Doctor_ID]],Doctors!$A:$H,4,FALSE)</f>
        <v>Dermatology</v>
      </c>
      <c r="M134" s="51">
        <f>VLOOKUP(appointments7[[#This Row],[Doctor_ID]],Doctors!$A:$H,5,FALSE)</f>
        <v>8322010158</v>
      </c>
      <c r="N134" s="51" t="str">
        <f>VLOOKUP(appointments7[[#This Row],[Doctor_ID]],Doctors!$A:$H,7,FALSE)</f>
        <v>Westside Clinic</v>
      </c>
      <c r="O134" s="52">
        <v>45008</v>
      </c>
      <c r="P134" s="53">
        <v>0.60416666666666674</v>
      </c>
      <c r="Q134" s="51" t="s">
        <v>29</v>
      </c>
      <c r="R134" s="51" t="s">
        <v>41</v>
      </c>
      <c r="S134" s="51" t="str">
        <f>VLOOKUP(appointments7[[#This Row],[Appointment_ID]],Treatments!$A:$F,2,FALSE)</f>
        <v>T133</v>
      </c>
      <c r="T134" s="51" t="str">
        <f>VLOOKUP(appointments7[[#This Row],[Appointment_ID]],Treatments!$A:$F,3,FALSE)</f>
        <v>Physiotherapy</v>
      </c>
      <c r="U134" s="54">
        <f>VLOOKUP(treatments[[#This Row],[appointment_id]],Treatments!$A:$F,5,FALSE)</f>
        <v>4289.1499999999996</v>
      </c>
      <c r="V134" s="52">
        <f>VLOOKUP(appointments7[[#This Row],[Appointment_ID]],Treatments!$A:$F,6,FALSE)</f>
        <v>45008</v>
      </c>
      <c r="W134" s="52" t="str">
        <f>VLOOKUP(appointments7[[#This Row],[Patient_ID]],Billing!$A:$G,2,FALSE)</f>
        <v>B003</v>
      </c>
      <c r="X134" s="52">
        <f>VLOOKUP(appointments7[[#This Row],[Patient_ID]],Billing!$A:$H,4,FALSE)</f>
        <v>45105</v>
      </c>
      <c r="Y134" s="54">
        <f>VLOOKUP(appointments7[[#This Row],[Patient_ID]],Billing!$A:$G,5,FALSE)</f>
        <v>3731.55</v>
      </c>
      <c r="Z134" s="54" t="str">
        <f>VLOOKUP(appointments7[[#This Row],[Patient_ID]],Billing!$A:$G,6,FALSE)</f>
        <v>Insurance</v>
      </c>
      <c r="AA134" s="52" t="str">
        <f>VLOOKUP(appointments7[[#This Row],[Patient_ID]],Billing!$A:$G,7,FALSE)</f>
        <v>Paid</v>
      </c>
      <c r="AB134" s="2"/>
      <c r="AC134" s="2"/>
    </row>
    <row r="135" spans="1:29" x14ac:dyDescent="0.4">
      <c r="A135" s="51" t="s">
        <v>205</v>
      </c>
      <c r="B135" s="51" t="s">
        <v>21</v>
      </c>
      <c r="C135" s="51" t="s">
        <v>873</v>
      </c>
      <c r="D135" s="51" t="str">
        <f>VLOOKUP(appointments7[[#This Row],[Patient_ID]],Patients!$A:$K,4,FALSE)</f>
        <v>M</v>
      </c>
      <c r="E135" s="52">
        <f>VLOOKUP(appointments7[[#This Row],[Patient_ID]],Patients!$A:$K,5,FALSE)</f>
        <v>24333</v>
      </c>
      <c r="F135" s="51">
        <f>VLOOKUP(appointments7[[#This Row],[Patient_ID]],Patients!$A:$K,6,FALSE)</f>
        <v>7482069727</v>
      </c>
      <c r="G135" s="51" t="str">
        <f>VLOOKUP(appointments7[[#This Row],[Patient_ID]],Patients!$A:$K,7,FALSE)</f>
        <v>123 Elm St</v>
      </c>
      <c r="H135" s="52">
        <f>VLOOKUP(appointments7[[#This Row],[Patient_ID]],Patients!$A:$K,8,FALSE)</f>
        <v>44448</v>
      </c>
      <c r="I135" s="51" t="str">
        <f>VLOOKUP(appointments7[[#This Row],[Patient_ID]],Patients!$A:$K,11,FALSE)</f>
        <v>robert.wilson@mail.com</v>
      </c>
      <c r="J135" s="51" t="s">
        <v>22</v>
      </c>
      <c r="K135" s="51" t="s">
        <v>910</v>
      </c>
      <c r="L135" s="51" t="str">
        <f>VLOOKUP(appointments7[[#This Row],[Doctor_ID]],Doctors!$A:$H,4,FALSE)</f>
        <v>Pediatrics</v>
      </c>
      <c r="M135" s="51">
        <f>VLOOKUP(appointments7[[#This Row],[Doctor_ID]],Doctors!$A:$H,5,FALSE)</f>
        <v>6570137231</v>
      </c>
      <c r="N135" s="51" t="str">
        <f>VLOOKUP(appointments7[[#This Row],[Doctor_ID]],Doctors!$A:$H,7,FALSE)</f>
        <v>Central Hospital</v>
      </c>
      <c r="O135" s="52">
        <v>45216</v>
      </c>
      <c r="P135" s="53">
        <v>0.63541666666666674</v>
      </c>
      <c r="Q135" s="51" t="s">
        <v>18</v>
      </c>
      <c r="R135" s="51" t="s">
        <v>11</v>
      </c>
      <c r="S135" s="51" t="str">
        <f>VLOOKUP(appointments7[[#This Row],[Appointment_ID]],Treatments!$A:$F,2,FALSE)</f>
        <v>T134</v>
      </c>
      <c r="T135" s="51" t="str">
        <f>VLOOKUP(appointments7[[#This Row],[Appointment_ID]],Treatments!$A:$F,3,FALSE)</f>
        <v>Physiotherapy</v>
      </c>
      <c r="U135" s="54">
        <f>VLOOKUP(treatments[[#This Row],[appointment_id]],Treatments!$A:$F,5,FALSE)</f>
        <v>2844.31</v>
      </c>
      <c r="V135" s="52">
        <f>VLOOKUP(appointments7[[#This Row],[Appointment_ID]],Treatments!$A:$F,6,FALSE)</f>
        <v>45216</v>
      </c>
      <c r="W135" s="52" t="str">
        <f>VLOOKUP(appointments7[[#This Row],[Patient_ID]],Billing!$A:$G,2,FALSE)</f>
        <v>B004</v>
      </c>
      <c r="X135" s="52">
        <f>VLOOKUP(appointments7[[#This Row],[Patient_ID]],Billing!$A:$H,4,FALSE)</f>
        <v>45170</v>
      </c>
      <c r="Y135" s="54">
        <f>VLOOKUP(appointments7[[#This Row],[Patient_ID]],Billing!$A:$G,5,FALSE)</f>
        <v>4799.8599999999997</v>
      </c>
      <c r="Z135" s="54" t="str">
        <f>VLOOKUP(appointments7[[#This Row],[Patient_ID]],Billing!$A:$G,6,FALSE)</f>
        <v>Insurance</v>
      </c>
      <c r="AA135" s="52" t="str">
        <f>VLOOKUP(appointments7[[#This Row],[Patient_ID]],Billing!$A:$G,7,FALSE)</f>
        <v>Failed</v>
      </c>
      <c r="AB135" s="2"/>
      <c r="AC135" s="2"/>
    </row>
    <row r="136" spans="1:29" x14ac:dyDescent="0.4">
      <c r="A136" s="51" t="s">
        <v>206</v>
      </c>
      <c r="B136" s="51" t="s">
        <v>43</v>
      </c>
      <c r="C136" s="51" t="s">
        <v>880</v>
      </c>
      <c r="D136" s="51" t="str">
        <f>VLOOKUP(appointments7[[#This Row],[Patient_ID]],Patients!$A:$K,4,FALSE)</f>
        <v>M</v>
      </c>
      <c r="E136" s="52">
        <f>VLOOKUP(appointments7[[#This Row],[Patient_ID]],Patients!$A:$K,5,FALSE)</f>
        <v>20219</v>
      </c>
      <c r="F136" s="51">
        <f>VLOOKUP(appointments7[[#This Row],[Patient_ID]],Patients!$A:$K,6,FALSE)</f>
        <v>6221099573</v>
      </c>
      <c r="G136" s="51" t="str">
        <f>VLOOKUP(appointments7[[#This Row],[Patient_ID]],Patients!$A:$K,7,FALSE)</f>
        <v>321 Maple Dr</v>
      </c>
      <c r="H136" s="52">
        <f>VLOOKUP(appointments7[[#This Row],[Patient_ID]],Patients!$A:$K,8,FALSE)</f>
        <v>44327</v>
      </c>
      <c r="I136" s="51" t="str">
        <f>VLOOKUP(appointments7[[#This Row],[Patient_ID]],Patients!$A:$K,11,FALSE)</f>
        <v>john.brown@mail.com</v>
      </c>
      <c r="J136" s="51" t="s">
        <v>74</v>
      </c>
      <c r="K136" s="51" t="s">
        <v>915</v>
      </c>
      <c r="L136" s="51" t="str">
        <f>VLOOKUP(appointments7[[#This Row],[Doctor_ID]],Doctors!$A:$H,4,FALSE)</f>
        <v>Dermatology</v>
      </c>
      <c r="M136" s="51">
        <f>VLOOKUP(appointments7[[#This Row],[Doctor_ID]],Doctors!$A:$H,5,FALSE)</f>
        <v>9118538547</v>
      </c>
      <c r="N136" s="51" t="str">
        <f>VLOOKUP(appointments7[[#This Row],[Doctor_ID]],Doctors!$A:$H,7,FALSE)</f>
        <v>Central Hospital</v>
      </c>
      <c r="O136" s="52">
        <v>45178</v>
      </c>
      <c r="P136" s="53">
        <v>0.6875</v>
      </c>
      <c r="Q136" s="51" t="s">
        <v>10</v>
      </c>
      <c r="R136" s="51" t="s">
        <v>11</v>
      </c>
      <c r="S136" s="51" t="str">
        <f>VLOOKUP(appointments7[[#This Row],[Appointment_ID]],Treatments!$A:$F,2,FALSE)</f>
        <v>T135</v>
      </c>
      <c r="T136" s="51" t="str">
        <f>VLOOKUP(appointments7[[#This Row],[Appointment_ID]],Treatments!$A:$F,3,FALSE)</f>
        <v>MRI</v>
      </c>
      <c r="U136" s="54">
        <f>VLOOKUP(treatments[[#This Row],[appointment_id]],Treatments!$A:$F,5,FALSE)</f>
        <v>3306.14</v>
      </c>
      <c r="V136" s="52">
        <f>VLOOKUP(appointments7[[#This Row],[Appointment_ID]],Treatments!$A:$F,6,FALSE)</f>
        <v>45178</v>
      </c>
      <c r="W136" s="52" t="str">
        <f>VLOOKUP(appointments7[[#This Row],[Patient_ID]],Billing!$A:$G,2,FALSE)</f>
        <v>B011</v>
      </c>
      <c r="X136" s="52">
        <f>VLOOKUP(appointments7[[#This Row],[Patient_ID]],Billing!$A:$H,4,FALSE)</f>
        <v>45242</v>
      </c>
      <c r="Y136" s="54">
        <f>VLOOKUP(appointments7[[#This Row],[Patient_ID]],Billing!$A:$G,5,FALSE)</f>
        <v>4671.66</v>
      </c>
      <c r="Z136" s="54" t="str">
        <f>VLOOKUP(appointments7[[#This Row],[Patient_ID]],Billing!$A:$G,6,FALSE)</f>
        <v>Cash</v>
      </c>
      <c r="AA136" s="52" t="str">
        <f>VLOOKUP(appointments7[[#This Row],[Patient_ID]],Billing!$A:$G,7,FALSE)</f>
        <v>Failed</v>
      </c>
      <c r="AB136" s="2"/>
      <c r="AC136" s="2"/>
    </row>
    <row r="137" spans="1:29" x14ac:dyDescent="0.4">
      <c r="A137" s="51" t="s">
        <v>207</v>
      </c>
      <c r="B137" s="51" t="s">
        <v>142</v>
      </c>
      <c r="C137" s="51" t="s">
        <v>901</v>
      </c>
      <c r="D137" s="51" t="str">
        <f>VLOOKUP(appointments7[[#This Row],[Patient_ID]],Patients!$A:$K,4,FALSE)</f>
        <v>F</v>
      </c>
      <c r="E137" s="52">
        <f>VLOOKUP(appointments7[[#This Row],[Patient_ID]],Patients!$A:$K,5,FALSE)</f>
        <v>32960</v>
      </c>
      <c r="F137" s="51">
        <f>VLOOKUP(appointments7[[#This Row],[Patient_ID]],Patients!$A:$K,6,FALSE)</f>
        <v>9059178882</v>
      </c>
      <c r="G137" s="51" t="str">
        <f>VLOOKUP(appointments7[[#This Row],[Patient_ID]],Patients!$A:$K,7,FALSE)</f>
        <v>321 Maple Dr</v>
      </c>
      <c r="H137" s="52">
        <f>VLOOKUP(appointments7[[#This Row],[Patient_ID]],Patients!$A:$K,8,FALSE)</f>
        <v>44553</v>
      </c>
      <c r="I137" s="51" t="str">
        <f>VLOOKUP(appointments7[[#This Row],[Patient_ID]],Patients!$A:$K,11,FALSE)</f>
        <v>laura.johnson@mail.com</v>
      </c>
      <c r="J137" s="51" t="s">
        <v>9</v>
      </c>
      <c r="K137" s="51" t="s">
        <v>908</v>
      </c>
      <c r="L137" s="51" t="str">
        <f>VLOOKUP(appointments7[[#This Row],[Doctor_ID]],Doctors!$A:$H,4,FALSE)</f>
        <v>Pediatrics</v>
      </c>
      <c r="M137" s="51">
        <f>VLOOKUP(appointments7[[#This Row],[Doctor_ID]],Doctors!$A:$H,5,FALSE)</f>
        <v>7387087517</v>
      </c>
      <c r="N137" s="51" t="str">
        <f>VLOOKUP(appointments7[[#This Row],[Doctor_ID]],Doctors!$A:$H,7,FALSE)</f>
        <v>Central Hospital</v>
      </c>
      <c r="O137" s="52">
        <v>45059</v>
      </c>
      <c r="P137" s="53">
        <v>0.52083333333333326</v>
      </c>
      <c r="Q137" s="51" t="s">
        <v>38</v>
      </c>
      <c r="R137" s="51" t="s">
        <v>41</v>
      </c>
      <c r="S137" s="51" t="str">
        <f>VLOOKUP(appointments7[[#This Row],[Appointment_ID]],Treatments!$A:$F,2,FALSE)</f>
        <v>T136</v>
      </c>
      <c r="T137" s="51" t="str">
        <f>VLOOKUP(appointments7[[#This Row],[Appointment_ID]],Treatments!$A:$F,3,FALSE)</f>
        <v>Chemotherapy</v>
      </c>
      <c r="U137" s="54">
        <f>VLOOKUP(treatments[[#This Row],[appointment_id]],Treatments!$A:$F,5,FALSE)</f>
        <v>901.06</v>
      </c>
      <c r="V137" s="52">
        <f>VLOOKUP(appointments7[[#This Row],[Appointment_ID]],Treatments!$A:$F,6,FALSE)</f>
        <v>45059</v>
      </c>
      <c r="W137" s="52" t="str">
        <f>VLOOKUP(appointments7[[#This Row],[Patient_ID]],Billing!$A:$G,2,FALSE)</f>
        <v>B078</v>
      </c>
      <c r="X137" s="52">
        <f>VLOOKUP(appointments7[[#This Row],[Patient_ID]],Billing!$A:$H,4,FALSE)</f>
        <v>45186</v>
      </c>
      <c r="Y137" s="54">
        <f>VLOOKUP(appointments7[[#This Row],[Patient_ID]],Billing!$A:$G,5,FALSE)</f>
        <v>3628.15</v>
      </c>
      <c r="Z137" s="54" t="str">
        <f>VLOOKUP(appointments7[[#This Row],[Patient_ID]],Billing!$A:$G,6,FALSE)</f>
        <v>Credit Card</v>
      </c>
      <c r="AA137" s="52" t="str">
        <f>VLOOKUP(appointments7[[#This Row],[Patient_ID]],Billing!$A:$G,7,FALSE)</f>
        <v>Paid</v>
      </c>
      <c r="AB137" s="2"/>
      <c r="AC137" s="2"/>
    </row>
    <row r="138" spans="1:29" x14ac:dyDescent="0.4">
      <c r="A138" s="51" t="s">
        <v>208</v>
      </c>
      <c r="B138" s="51" t="s">
        <v>100</v>
      </c>
      <c r="C138" s="51" t="s">
        <v>893</v>
      </c>
      <c r="D138" s="51" t="str">
        <f>VLOOKUP(appointments7[[#This Row],[Patient_ID]],Patients!$A:$K,4,FALSE)</f>
        <v>M</v>
      </c>
      <c r="E138" s="52">
        <f>VLOOKUP(appointments7[[#This Row],[Patient_ID]],Patients!$A:$K,5,FALSE)</f>
        <v>27538</v>
      </c>
      <c r="F138" s="51">
        <f>VLOOKUP(appointments7[[#This Row],[Patient_ID]],Patients!$A:$K,6,FALSE)</f>
        <v>8618058864</v>
      </c>
      <c r="G138" s="51" t="str">
        <f>VLOOKUP(appointments7[[#This Row],[Patient_ID]],Patients!$A:$K,7,FALSE)</f>
        <v>789 Pine Rd</v>
      </c>
      <c r="H138" s="52">
        <f>VLOOKUP(appointments7[[#This Row],[Patient_ID]],Patients!$A:$K,8,FALSE)</f>
        <v>45101</v>
      </c>
      <c r="I138" s="51" t="str">
        <f>VLOOKUP(appointments7[[#This Row],[Patient_ID]],Patients!$A:$K,11,FALSE)</f>
        <v>sarah.miller@mail.com</v>
      </c>
      <c r="J138" s="51" t="s">
        <v>59</v>
      </c>
      <c r="K138" s="51" t="s">
        <v>914</v>
      </c>
      <c r="L138" s="51" t="str">
        <f>VLOOKUP(appointments7[[#This Row],[Doctor_ID]],Doctors!$A:$H,4,FALSE)</f>
        <v>Dermatology</v>
      </c>
      <c r="M138" s="51">
        <f>VLOOKUP(appointments7[[#This Row],[Doctor_ID]],Doctors!$A:$H,5,FALSE)</f>
        <v>8322010158</v>
      </c>
      <c r="N138" s="51" t="str">
        <f>VLOOKUP(appointments7[[#This Row],[Doctor_ID]],Doctors!$A:$H,7,FALSE)</f>
        <v>Westside Clinic</v>
      </c>
      <c r="O138" s="52">
        <v>45224</v>
      </c>
      <c r="P138" s="53">
        <v>0.41666666666666674</v>
      </c>
      <c r="Q138" s="51" t="s">
        <v>26</v>
      </c>
      <c r="R138" s="51" t="s">
        <v>15</v>
      </c>
      <c r="S138" s="51" t="str">
        <f>VLOOKUP(appointments7[[#This Row],[Appointment_ID]],Treatments!$A:$F,2,FALSE)</f>
        <v>T137</v>
      </c>
      <c r="T138" s="51" t="str">
        <f>VLOOKUP(appointments7[[#This Row],[Appointment_ID]],Treatments!$A:$F,3,FALSE)</f>
        <v>X-Ray</v>
      </c>
      <c r="U138" s="54">
        <f>VLOOKUP(treatments[[#This Row],[appointment_id]],Treatments!$A:$F,5,FALSE)</f>
        <v>3898.72</v>
      </c>
      <c r="V138" s="52">
        <f>VLOOKUP(appointments7[[#This Row],[Appointment_ID]],Treatments!$A:$F,6,FALSE)</f>
        <v>45224</v>
      </c>
      <c r="W138" s="52" t="str">
        <f>VLOOKUP(appointments7[[#This Row],[Patient_ID]],Billing!$A:$G,2,FALSE)</f>
        <v>B046</v>
      </c>
      <c r="X138" s="52">
        <f>VLOOKUP(appointments7[[#This Row],[Patient_ID]],Billing!$A:$H,4,FALSE)</f>
        <v>45280</v>
      </c>
      <c r="Y138" s="54">
        <f>VLOOKUP(appointments7[[#This Row],[Patient_ID]],Billing!$A:$G,5,FALSE)</f>
        <v>1526.36</v>
      </c>
      <c r="Z138" s="54" t="str">
        <f>VLOOKUP(appointments7[[#This Row],[Patient_ID]],Billing!$A:$G,6,FALSE)</f>
        <v>Cash</v>
      </c>
      <c r="AA138" s="52" t="str">
        <f>VLOOKUP(appointments7[[#This Row],[Patient_ID]],Billing!$A:$G,7,FALSE)</f>
        <v>Paid</v>
      </c>
      <c r="AB138" s="2"/>
      <c r="AC138" s="2"/>
    </row>
    <row r="139" spans="1:29" x14ac:dyDescent="0.4">
      <c r="A139" s="51" t="s">
        <v>209</v>
      </c>
      <c r="B139" s="51" t="s">
        <v>68</v>
      </c>
      <c r="C139" s="51" t="s">
        <v>888</v>
      </c>
      <c r="D139" s="51" t="str">
        <f>VLOOKUP(appointments7[[#This Row],[Patient_ID]],Patients!$A:$K,4,FALSE)</f>
        <v>M</v>
      </c>
      <c r="E139" s="52">
        <f>VLOOKUP(appointments7[[#This Row],[Patient_ID]],Patients!$A:$K,5,FALSE)</f>
        <v>26629</v>
      </c>
      <c r="F139" s="51">
        <f>VLOOKUP(appointments7[[#This Row],[Patient_ID]],Patients!$A:$K,6,FALSE)</f>
        <v>7712937941</v>
      </c>
      <c r="G139" s="51" t="str">
        <f>VLOOKUP(appointments7[[#This Row],[Patient_ID]],Patients!$A:$K,7,FALSE)</f>
        <v>321 Maple Dr</v>
      </c>
      <c r="H139" s="52">
        <f>VLOOKUP(appointments7[[#This Row],[Patient_ID]],Patients!$A:$K,8,FALSE)</f>
        <v>45091</v>
      </c>
      <c r="I139" s="51" t="str">
        <f>VLOOKUP(appointments7[[#This Row],[Patient_ID]],Patients!$A:$K,11,FALSE)</f>
        <v>david.moore@mail.com</v>
      </c>
      <c r="J139" s="51" t="s">
        <v>32</v>
      </c>
      <c r="K139" s="51" t="s">
        <v>911</v>
      </c>
      <c r="L139" s="51" t="str">
        <f>VLOOKUP(appointments7[[#This Row],[Doctor_ID]],Doctors!$A:$H,4,FALSE)</f>
        <v>Oncology</v>
      </c>
      <c r="M139" s="51">
        <f>VLOOKUP(appointments7[[#This Row],[Doctor_ID]],Doctors!$A:$H,5,FALSE)</f>
        <v>8217493115</v>
      </c>
      <c r="N139" s="51" t="str">
        <f>VLOOKUP(appointments7[[#This Row],[Doctor_ID]],Doctors!$A:$H,7,FALSE)</f>
        <v>Westside Clinic</v>
      </c>
      <c r="O139" s="52">
        <v>45286</v>
      </c>
      <c r="P139" s="53">
        <v>0.63541666666666674</v>
      </c>
      <c r="Q139" s="51" t="s">
        <v>38</v>
      </c>
      <c r="R139" s="51" t="s">
        <v>15</v>
      </c>
      <c r="S139" s="51" t="str">
        <f>VLOOKUP(appointments7[[#This Row],[Appointment_ID]],Treatments!$A:$F,2,FALSE)</f>
        <v>T138</v>
      </c>
      <c r="T139" s="51" t="str">
        <f>VLOOKUP(appointments7[[#This Row],[Appointment_ID]],Treatments!$A:$F,3,FALSE)</f>
        <v>X-Ray</v>
      </c>
      <c r="U139" s="54">
        <f>VLOOKUP(treatments[[#This Row],[appointment_id]],Treatments!$A:$F,5,FALSE)</f>
        <v>1074.71</v>
      </c>
      <c r="V139" s="52">
        <f>VLOOKUP(appointments7[[#This Row],[Appointment_ID]],Treatments!$A:$F,6,FALSE)</f>
        <v>45286</v>
      </c>
      <c r="W139" s="52" t="str">
        <f>VLOOKUP(appointments7[[#This Row],[Patient_ID]],Billing!$A:$G,2,FALSE)</f>
        <v>B024</v>
      </c>
      <c r="X139" s="52">
        <f>VLOOKUP(appointments7[[#This Row],[Patient_ID]],Billing!$A:$H,4,FALSE)</f>
        <v>45098</v>
      </c>
      <c r="Y139" s="54">
        <f>VLOOKUP(appointments7[[#This Row],[Patient_ID]],Billing!$A:$G,5,FALSE)</f>
        <v>3722.68</v>
      </c>
      <c r="Z139" s="54" t="str">
        <f>VLOOKUP(appointments7[[#This Row],[Patient_ID]],Billing!$A:$G,6,FALSE)</f>
        <v>Cash</v>
      </c>
      <c r="AA139" s="52" t="str">
        <f>VLOOKUP(appointments7[[#This Row],[Patient_ID]],Billing!$A:$G,7,FALSE)</f>
        <v>Pending</v>
      </c>
      <c r="AB139" s="2"/>
      <c r="AC139" s="2"/>
    </row>
    <row r="140" spans="1:29" x14ac:dyDescent="0.4">
      <c r="A140" s="51" t="s">
        <v>210</v>
      </c>
      <c r="B140" s="51" t="s">
        <v>84</v>
      </c>
      <c r="C140" s="51" t="s">
        <v>890</v>
      </c>
      <c r="D140" s="51" t="str">
        <f>VLOOKUP(appointments7[[#This Row],[Patient_ID]],Patients!$A:$K,4,FALSE)</f>
        <v>M</v>
      </c>
      <c r="E140" s="52">
        <f>VLOOKUP(appointments7[[#This Row],[Patient_ID]],Patients!$A:$K,5,FALSE)</f>
        <v>35790</v>
      </c>
      <c r="F140" s="51">
        <f>VLOOKUP(appointments7[[#This Row],[Patient_ID]],Patients!$A:$K,6,FALSE)</f>
        <v>8545613046</v>
      </c>
      <c r="G140" s="51" t="str">
        <f>VLOOKUP(appointments7[[#This Row],[Patient_ID]],Patients!$A:$K,7,FALSE)</f>
        <v>123 Elm St</v>
      </c>
      <c r="H140" s="52">
        <f>VLOOKUP(appointments7[[#This Row],[Patient_ID]],Patients!$A:$K,8,FALSE)</f>
        <v>44838</v>
      </c>
      <c r="I140" s="51" t="str">
        <f>VLOOKUP(appointments7[[#This Row],[Patient_ID]],Patients!$A:$K,11,FALSE)</f>
        <v>michael.wilson@mail.com</v>
      </c>
      <c r="J140" s="51" t="s">
        <v>74</v>
      </c>
      <c r="K140" s="51" t="s">
        <v>915</v>
      </c>
      <c r="L140" s="51" t="str">
        <f>VLOOKUP(appointments7[[#This Row],[Doctor_ID]],Doctors!$A:$H,4,FALSE)</f>
        <v>Dermatology</v>
      </c>
      <c r="M140" s="51">
        <f>VLOOKUP(appointments7[[#This Row],[Doctor_ID]],Doctors!$A:$H,5,FALSE)</f>
        <v>9118538547</v>
      </c>
      <c r="N140" s="51" t="str">
        <f>VLOOKUP(appointments7[[#This Row],[Doctor_ID]],Doctors!$A:$H,7,FALSE)</f>
        <v>Central Hospital</v>
      </c>
      <c r="O140" s="52">
        <v>45209</v>
      </c>
      <c r="P140" s="53">
        <v>0.44791666666666674</v>
      </c>
      <c r="Q140" s="51" t="s">
        <v>10</v>
      </c>
      <c r="R140" s="51" t="s">
        <v>15</v>
      </c>
      <c r="S140" s="51" t="str">
        <f>VLOOKUP(appointments7[[#This Row],[Appointment_ID]],Treatments!$A:$F,2,FALSE)</f>
        <v>T139</v>
      </c>
      <c r="T140" s="51" t="str">
        <f>VLOOKUP(appointments7[[#This Row],[Appointment_ID]],Treatments!$A:$F,3,FALSE)</f>
        <v>MRI</v>
      </c>
      <c r="U140" s="54">
        <f>VLOOKUP(treatments[[#This Row],[appointment_id]],Treatments!$A:$F,5,FALSE)</f>
        <v>4217.3</v>
      </c>
      <c r="V140" s="52">
        <f>VLOOKUP(appointments7[[#This Row],[Appointment_ID]],Treatments!$A:$F,6,FALSE)</f>
        <v>45209</v>
      </c>
      <c r="W140" s="52" t="str">
        <f>VLOOKUP(appointments7[[#This Row],[Patient_ID]],Billing!$A:$G,2,FALSE)</f>
        <v>B035</v>
      </c>
      <c r="X140" s="52">
        <f>VLOOKUP(appointments7[[#This Row],[Patient_ID]],Billing!$A:$H,4,FALSE)</f>
        <v>45034</v>
      </c>
      <c r="Y140" s="54">
        <f>VLOOKUP(appointments7[[#This Row],[Patient_ID]],Billing!$A:$G,5,FALSE)</f>
        <v>1654.53</v>
      </c>
      <c r="Z140" s="54" t="str">
        <f>VLOOKUP(appointments7[[#This Row],[Patient_ID]],Billing!$A:$G,6,FALSE)</f>
        <v>Insurance</v>
      </c>
      <c r="AA140" s="52" t="str">
        <f>VLOOKUP(appointments7[[#This Row],[Patient_ID]],Billing!$A:$G,7,FALSE)</f>
        <v>Failed</v>
      </c>
      <c r="AB140" s="2"/>
      <c r="AC140" s="2"/>
    </row>
    <row r="141" spans="1:29" x14ac:dyDescent="0.4">
      <c r="A141" s="51" t="s">
        <v>211</v>
      </c>
      <c r="B141" s="51" t="s">
        <v>50</v>
      </c>
      <c r="C141" s="51" t="s">
        <v>883</v>
      </c>
      <c r="D141" s="51" t="str">
        <f>VLOOKUP(appointments7[[#This Row],[Patient_ID]],Patients!$A:$K,4,FALSE)</f>
        <v>F</v>
      </c>
      <c r="E141" s="52">
        <f>VLOOKUP(appointments7[[#This Row],[Patient_ID]],Patients!$A:$K,5,FALSE)</f>
        <v>33580</v>
      </c>
      <c r="F141" s="51">
        <f>VLOOKUP(appointments7[[#This Row],[Patient_ID]],Patients!$A:$K,6,FALSE)</f>
        <v>8135666049</v>
      </c>
      <c r="G141" s="51" t="str">
        <f>VLOOKUP(appointments7[[#This Row],[Patient_ID]],Patients!$A:$K,7,FALSE)</f>
        <v>321 Maple Dr</v>
      </c>
      <c r="H141" s="52">
        <f>VLOOKUP(appointments7[[#This Row],[Patient_ID]],Patients!$A:$K,8,FALSE)</f>
        <v>45043</v>
      </c>
      <c r="I141" s="51" t="str">
        <f>VLOOKUP(appointments7[[#This Row],[Patient_ID]],Patients!$A:$K,11,FALSE)</f>
        <v>laura.davis@mail.com</v>
      </c>
      <c r="J141" s="51" t="s">
        <v>74</v>
      </c>
      <c r="K141" s="51" t="s">
        <v>915</v>
      </c>
      <c r="L141" s="51" t="str">
        <f>VLOOKUP(appointments7[[#This Row],[Doctor_ID]],Doctors!$A:$H,4,FALSE)</f>
        <v>Dermatology</v>
      </c>
      <c r="M141" s="51">
        <f>VLOOKUP(appointments7[[#This Row],[Doctor_ID]],Doctors!$A:$H,5,FALSE)</f>
        <v>9118538547</v>
      </c>
      <c r="N141" s="51" t="str">
        <f>VLOOKUP(appointments7[[#This Row],[Doctor_ID]],Doctors!$A:$H,7,FALSE)</f>
        <v>Central Hospital</v>
      </c>
      <c r="O141" s="52">
        <v>44962</v>
      </c>
      <c r="P141" s="53">
        <v>0.63541666666666674</v>
      </c>
      <c r="Q141" s="51" t="s">
        <v>29</v>
      </c>
      <c r="R141" s="51" t="s">
        <v>15</v>
      </c>
      <c r="S141" s="51" t="str">
        <f>VLOOKUP(appointments7[[#This Row],[Appointment_ID]],Treatments!$A:$F,2,FALSE)</f>
        <v>T140</v>
      </c>
      <c r="T141" s="51" t="str">
        <f>VLOOKUP(appointments7[[#This Row],[Appointment_ID]],Treatments!$A:$F,3,FALSE)</f>
        <v>Physiotherapy</v>
      </c>
      <c r="U141" s="54">
        <f>VLOOKUP(treatments[[#This Row],[appointment_id]],Treatments!$A:$F,5,FALSE)</f>
        <v>4019.13</v>
      </c>
      <c r="V141" s="52">
        <f>VLOOKUP(appointments7[[#This Row],[Appointment_ID]],Treatments!$A:$F,6,FALSE)</f>
        <v>44962</v>
      </c>
      <c r="W141" s="52" t="str">
        <f>VLOOKUP(appointments7[[#This Row],[Patient_ID]],Billing!$A:$G,2,FALSE)</f>
        <v>B014</v>
      </c>
      <c r="X141" s="52">
        <f>VLOOKUP(appointments7[[#This Row],[Patient_ID]],Billing!$A:$H,4,FALSE)</f>
        <v>45071</v>
      </c>
      <c r="Y141" s="54">
        <f>VLOOKUP(appointments7[[#This Row],[Patient_ID]],Billing!$A:$G,5,FALSE)</f>
        <v>2082.3000000000002</v>
      </c>
      <c r="Z141" s="54" t="str">
        <f>VLOOKUP(appointments7[[#This Row],[Patient_ID]],Billing!$A:$G,6,FALSE)</f>
        <v>Credit Card</v>
      </c>
      <c r="AA141" s="52" t="str">
        <f>VLOOKUP(appointments7[[#This Row],[Patient_ID]],Billing!$A:$G,7,FALSE)</f>
        <v>Paid</v>
      </c>
      <c r="AB141" s="2"/>
      <c r="AC141" s="2"/>
    </row>
    <row r="142" spans="1:29" x14ac:dyDescent="0.4">
      <c r="A142" s="51" t="s">
        <v>212</v>
      </c>
      <c r="B142" s="51" t="s">
        <v>161</v>
      </c>
      <c r="C142" s="51" t="s">
        <v>885</v>
      </c>
      <c r="D142" s="51" t="str">
        <f>VLOOKUP(appointments7[[#This Row],[Patient_ID]],Patients!$A:$K,4,FALSE)</f>
        <v>M</v>
      </c>
      <c r="E142" s="52">
        <f>VLOOKUP(appointments7[[#This Row],[Patient_ID]],Patients!$A:$K,5,FALSE)</f>
        <v>18798</v>
      </c>
      <c r="F142" s="51">
        <f>VLOOKUP(appointments7[[#This Row],[Patient_ID]],Patients!$A:$K,6,FALSE)</f>
        <v>7020645498</v>
      </c>
      <c r="G142" s="51" t="str">
        <f>VLOOKUP(appointments7[[#This Row],[Patient_ID]],Patients!$A:$K,7,FALSE)</f>
        <v>456 Oak Ave</v>
      </c>
      <c r="H142" s="52">
        <f>VLOOKUP(appointments7[[#This Row],[Patient_ID]],Patients!$A:$K,8,FALSE)</f>
        <v>44758</v>
      </c>
      <c r="I142" s="51" t="str">
        <f>VLOOKUP(appointments7[[#This Row],[Patient_ID]],Patients!$A:$K,11,FALSE)</f>
        <v>robert.williams@mail.com</v>
      </c>
      <c r="J142" s="51" t="s">
        <v>48</v>
      </c>
      <c r="K142" s="51" t="s">
        <v>913</v>
      </c>
      <c r="L142" s="51" t="str">
        <f>VLOOKUP(appointments7[[#This Row],[Doctor_ID]],Doctors!$A:$H,4,FALSE)</f>
        <v>Pediatrics</v>
      </c>
      <c r="M142" s="51">
        <f>VLOOKUP(appointments7[[#This Row],[Doctor_ID]],Doctors!$A:$H,5,FALSE)</f>
        <v>9004382050</v>
      </c>
      <c r="N142" s="51" t="str">
        <f>VLOOKUP(appointments7[[#This Row],[Doctor_ID]],Doctors!$A:$H,7,FALSE)</f>
        <v>Eastside Clinic</v>
      </c>
      <c r="O142" s="52">
        <v>45092</v>
      </c>
      <c r="P142" s="53">
        <v>0.63541666666666674</v>
      </c>
      <c r="Q142" s="51" t="s">
        <v>29</v>
      </c>
      <c r="R142" s="51" t="s">
        <v>41</v>
      </c>
      <c r="S142" s="51" t="str">
        <f>VLOOKUP(appointments7[[#This Row],[Appointment_ID]],Treatments!$A:$F,2,FALSE)</f>
        <v>T141</v>
      </c>
      <c r="T142" s="51" t="str">
        <f>VLOOKUP(appointments7[[#This Row],[Appointment_ID]],Treatments!$A:$F,3,FALSE)</f>
        <v>ECG</v>
      </c>
      <c r="U142" s="54">
        <f>VLOOKUP(treatments[[#This Row],[appointment_id]],Treatments!$A:$F,5,FALSE)</f>
        <v>3689.35</v>
      </c>
      <c r="V142" s="52">
        <f>VLOOKUP(appointments7[[#This Row],[Appointment_ID]],Treatments!$A:$F,6,FALSE)</f>
        <v>45092</v>
      </c>
      <c r="W142" s="52" t="str">
        <f>VLOOKUP(appointments7[[#This Row],[Patient_ID]],Billing!$A:$G,2,FALSE)</f>
        <v>B094</v>
      </c>
      <c r="X142" s="52">
        <f>VLOOKUP(appointments7[[#This Row],[Patient_ID]],Billing!$A:$H,4,FALSE)</f>
        <v>45024</v>
      </c>
      <c r="Y142" s="54">
        <f>VLOOKUP(appointments7[[#This Row],[Patient_ID]],Billing!$A:$G,5,FALSE)</f>
        <v>1519.95</v>
      </c>
      <c r="Z142" s="54" t="str">
        <f>VLOOKUP(appointments7[[#This Row],[Patient_ID]],Billing!$A:$G,6,FALSE)</f>
        <v>Cash</v>
      </c>
      <c r="AA142" s="52" t="str">
        <f>VLOOKUP(appointments7[[#This Row],[Patient_ID]],Billing!$A:$G,7,FALSE)</f>
        <v>Failed</v>
      </c>
      <c r="AB142" s="2"/>
      <c r="AC142" s="2"/>
    </row>
    <row r="143" spans="1:29" x14ac:dyDescent="0.4">
      <c r="A143" s="51" t="s">
        <v>213</v>
      </c>
      <c r="B143" s="51" t="s">
        <v>100</v>
      </c>
      <c r="C143" s="51" t="s">
        <v>893</v>
      </c>
      <c r="D143" s="51" t="str">
        <f>VLOOKUP(appointments7[[#This Row],[Patient_ID]],Patients!$A:$K,4,FALSE)</f>
        <v>M</v>
      </c>
      <c r="E143" s="52">
        <f>VLOOKUP(appointments7[[#This Row],[Patient_ID]],Patients!$A:$K,5,FALSE)</f>
        <v>27538</v>
      </c>
      <c r="F143" s="51">
        <f>VLOOKUP(appointments7[[#This Row],[Patient_ID]],Patients!$A:$K,6,FALSE)</f>
        <v>8618058864</v>
      </c>
      <c r="G143" s="51" t="str">
        <f>VLOOKUP(appointments7[[#This Row],[Patient_ID]],Patients!$A:$K,7,FALSE)</f>
        <v>789 Pine Rd</v>
      </c>
      <c r="H143" s="52">
        <f>VLOOKUP(appointments7[[#This Row],[Patient_ID]],Patients!$A:$K,8,FALSE)</f>
        <v>45101</v>
      </c>
      <c r="I143" s="51" t="str">
        <f>VLOOKUP(appointments7[[#This Row],[Patient_ID]],Patients!$A:$K,11,FALSE)</f>
        <v>sarah.miller@mail.com</v>
      </c>
      <c r="J143" s="51" t="s">
        <v>25</v>
      </c>
      <c r="K143" s="51" t="s">
        <v>906</v>
      </c>
      <c r="L143" s="51" t="str">
        <f>VLOOKUP(appointments7[[#This Row],[Doctor_ID]],Doctors!$A:$H,4,FALSE)</f>
        <v>Pediatrics</v>
      </c>
      <c r="M143" s="51">
        <f>VLOOKUP(appointments7[[#This Row],[Doctor_ID]],Doctors!$A:$H,5,FALSE)</f>
        <v>8737740598</v>
      </c>
      <c r="N143" s="51" t="str">
        <f>VLOOKUP(appointments7[[#This Row],[Doctor_ID]],Doctors!$A:$H,7,FALSE)</f>
        <v>Eastside Clinic</v>
      </c>
      <c r="O143" s="52">
        <v>45231</v>
      </c>
      <c r="P143" s="53">
        <v>0.48958333333333326</v>
      </c>
      <c r="Q143" s="51" t="s">
        <v>10</v>
      </c>
      <c r="R143" s="51" t="s">
        <v>15</v>
      </c>
      <c r="S143" s="51" t="str">
        <f>VLOOKUP(appointments7[[#This Row],[Appointment_ID]],Treatments!$A:$F,2,FALSE)</f>
        <v>T142</v>
      </c>
      <c r="T143" s="51" t="str">
        <f>VLOOKUP(appointments7[[#This Row],[Appointment_ID]],Treatments!$A:$F,3,FALSE)</f>
        <v>MRI</v>
      </c>
      <c r="U143" s="54">
        <f>VLOOKUP(treatments[[#This Row],[appointment_id]],Treatments!$A:$F,5,FALSE)</f>
        <v>662.72</v>
      </c>
      <c r="V143" s="52">
        <f>VLOOKUP(appointments7[[#This Row],[Appointment_ID]],Treatments!$A:$F,6,FALSE)</f>
        <v>45231</v>
      </c>
      <c r="W143" s="52" t="str">
        <f>VLOOKUP(appointments7[[#This Row],[Patient_ID]],Billing!$A:$G,2,FALSE)</f>
        <v>B046</v>
      </c>
      <c r="X143" s="52">
        <f>VLOOKUP(appointments7[[#This Row],[Patient_ID]],Billing!$A:$H,4,FALSE)</f>
        <v>45280</v>
      </c>
      <c r="Y143" s="54">
        <f>VLOOKUP(appointments7[[#This Row],[Patient_ID]],Billing!$A:$G,5,FALSE)</f>
        <v>1526.36</v>
      </c>
      <c r="Z143" s="54" t="str">
        <f>VLOOKUP(appointments7[[#This Row],[Patient_ID]],Billing!$A:$G,6,FALSE)</f>
        <v>Cash</v>
      </c>
      <c r="AA143" s="52" t="str">
        <f>VLOOKUP(appointments7[[#This Row],[Patient_ID]],Billing!$A:$G,7,FALSE)</f>
        <v>Paid</v>
      </c>
      <c r="AB143" s="2"/>
      <c r="AC143" s="2"/>
    </row>
    <row r="144" spans="1:29" x14ac:dyDescent="0.4">
      <c r="A144" s="51" t="s">
        <v>214</v>
      </c>
      <c r="B144" s="51" t="s">
        <v>50</v>
      </c>
      <c r="C144" s="51" t="s">
        <v>883</v>
      </c>
      <c r="D144" s="51" t="str">
        <f>VLOOKUP(appointments7[[#This Row],[Patient_ID]],Patients!$A:$K,4,FALSE)</f>
        <v>F</v>
      </c>
      <c r="E144" s="52">
        <f>VLOOKUP(appointments7[[#This Row],[Patient_ID]],Patients!$A:$K,5,FALSE)</f>
        <v>33580</v>
      </c>
      <c r="F144" s="51">
        <f>VLOOKUP(appointments7[[#This Row],[Patient_ID]],Patients!$A:$K,6,FALSE)</f>
        <v>8135666049</v>
      </c>
      <c r="G144" s="51" t="str">
        <f>VLOOKUP(appointments7[[#This Row],[Patient_ID]],Patients!$A:$K,7,FALSE)</f>
        <v>321 Maple Dr</v>
      </c>
      <c r="H144" s="52">
        <f>VLOOKUP(appointments7[[#This Row],[Patient_ID]],Patients!$A:$K,8,FALSE)</f>
        <v>45043</v>
      </c>
      <c r="I144" s="51" t="str">
        <f>VLOOKUP(appointments7[[#This Row],[Patient_ID]],Patients!$A:$K,11,FALSE)</f>
        <v>laura.davis@mail.com</v>
      </c>
      <c r="J144" s="51" t="s">
        <v>32</v>
      </c>
      <c r="K144" s="51" t="s">
        <v>911</v>
      </c>
      <c r="L144" s="51" t="str">
        <f>VLOOKUP(appointments7[[#This Row],[Doctor_ID]],Doctors!$A:$H,4,FALSE)</f>
        <v>Oncology</v>
      </c>
      <c r="M144" s="51">
        <f>VLOOKUP(appointments7[[#This Row],[Doctor_ID]],Doctors!$A:$H,5,FALSE)</f>
        <v>8217493115</v>
      </c>
      <c r="N144" s="51" t="str">
        <f>VLOOKUP(appointments7[[#This Row],[Doctor_ID]],Doctors!$A:$H,7,FALSE)</f>
        <v>Westside Clinic</v>
      </c>
      <c r="O144" s="52">
        <v>45190</v>
      </c>
      <c r="P144" s="53">
        <v>0.51041666666666674</v>
      </c>
      <c r="Q144" s="51" t="s">
        <v>29</v>
      </c>
      <c r="R144" s="51" t="s">
        <v>19</v>
      </c>
      <c r="S144" s="51" t="str">
        <f>VLOOKUP(appointments7[[#This Row],[Appointment_ID]],Treatments!$A:$F,2,FALSE)</f>
        <v>T143</v>
      </c>
      <c r="T144" s="51" t="str">
        <f>VLOOKUP(appointments7[[#This Row],[Appointment_ID]],Treatments!$A:$F,3,FALSE)</f>
        <v>MRI</v>
      </c>
      <c r="U144" s="54">
        <f>VLOOKUP(treatments[[#This Row],[appointment_id]],Treatments!$A:$F,5,FALSE)</f>
        <v>1864.08</v>
      </c>
      <c r="V144" s="52">
        <f>VLOOKUP(appointments7[[#This Row],[Appointment_ID]],Treatments!$A:$F,6,FALSE)</f>
        <v>45190</v>
      </c>
      <c r="W144" s="52" t="str">
        <f>VLOOKUP(appointments7[[#This Row],[Patient_ID]],Billing!$A:$G,2,FALSE)</f>
        <v>B014</v>
      </c>
      <c r="X144" s="52">
        <f>VLOOKUP(appointments7[[#This Row],[Patient_ID]],Billing!$A:$H,4,FALSE)</f>
        <v>45071</v>
      </c>
      <c r="Y144" s="54">
        <f>VLOOKUP(appointments7[[#This Row],[Patient_ID]],Billing!$A:$G,5,FALSE)</f>
        <v>2082.3000000000002</v>
      </c>
      <c r="Z144" s="54" t="str">
        <f>VLOOKUP(appointments7[[#This Row],[Patient_ID]],Billing!$A:$G,6,FALSE)</f>
        <v>Credit Card</v>
      </c>
      <c r="AA144" s="52" t="str">
        <f>VLOOKUP(appointments7[[#This Row],[Patient_ID]],Billing!$A:$G,7,FALSE)</f>
        <v>Paid</v>
      </c>
      <c r="AB144" s="2"/>
      <c r="AC144" s="2"/>
    </row>
    <row r="145" spans="1:29" x14ac:dyDescent="0.4">
      <c r="A145" s="51" t="s">
        <v>215</v>
      </c>
      <c r="B145" s="51" t="s">
        <v>177</v>
      </c>
      <c r="C145" s="51" t="s">
        <v>883</v>
      </c>
      <c r="D145" s="51" t="str">
        <f>VLOOKUP(appointments7[[#This Row],[Patient_ID]],Patients!$A:$K,4,FALSE)</f>
        <v>M</v>
      </c>
      <c r="E145" s="52">
        <f>VLOOKUP(appointments7[[#This Row],[Patient_ID]],Patients!$A:$K,5,FALSE)</f>
        <v>26278</v>
      </c>
      <c r="F145" s="51">
        <f>VLOOKUP(appointments7[[#This Row],[Patient_ID]],Patients!$A:$K,6,FALSE)</f>
        <v>7060324619</v>
      </c>
      <c r="G145" s="51" t="str">
        <f>VLOOKUP(appointments7[[#This Row],[Patient_ID]],Patients!$A:$K,7,FALSE)</f>
        <v>321 Maple Dr</v>
      </c>
      <c r="H145" s="52">
        <f>VLOOKUP(appointments7[[#This Row],[Patient_ID]],Patients!$A:$K,8,FALSE)</f>
        <v>44822</v>
      </c>
      <c r="I145" s="51" t="str">
        <f>VLOOKUP(appointments7[[#This Row],[Patient_ID]],Patients!$A:$K,11,FALSE)</f>
        <v>laura.davis@mail.com</v>
      </c>
      <c r="J145" s="51" t="s">
        <v>22</v>
      </c>
      <c r="K145" s="51" t="s">
        <v>910</v>
      </c>
      <c r="L145" s="51" t="str">
        <f>VLOOKUP(appointments7[[#This Row],[Doctor_ID]],Doctors!$A:$H,4,FALSE)</f>
        <v>Pediatrics</v>
      </c>
      <c r="M145" s="51">
        <f>VLOOKUP(appointments7[[#This Row],[Doctor_ID]],Doctors!$A:$H,5,FALSE)</f>
        <v>6570137231</v>
      </c>
      <c r="N145" s="51" t="str">
        <f>VLOOKUP(appointments7[[#This Row],[Doctor_ID]],Doctors!$A:$H,7,FALSE)</f>
        <v>Central Hospital</v>
      </c>
      <c r="O145" s="52">
        <v>45154</v>
      </c>
      <c r="P145" s="53">
        <v>0.51041666666666674</v>
      </c>
      <c r="Q145" s="51" t="s">
        <v>29</v>
      </c>
      <c r="R145" s="51" t="s">
        <v>15</v>
      </c>
      <c r="S145" s="51" t="str">
        <f>VLOOKUP(appointments7[[#This Row],[Appointment_ID]],Treatments!$A:$F,2,FALSE)</f>
        <v>T144</v>
      </c>
      <c r="T145" s="51" t="str">
        <f>VLOOKUP(appointments7[[#This Row],[Appointment_ID]],Treatments!$A:$F,3,FALSE)</f>
        <v>Chemotherapy</v>
      </c>
      <c r="U145" s="54">
        <f>VLOOKUP(treatments[[#This Row],[appointment_id]],Treatments!$A:$F,5,FALSE)</f>
        <v>1684.01</v>
      </c>
      <c r="V145" s="52">
        <f>VLOOKUP(appointments7[[#This Row],[Appointment_ID]],Treatments!$A:$F,6,FALSE)</f>
        <v>45154</v>
      </c>
      <c r="W145" s="52" t="str">
        <f>VLOOKUP(appointments7[[#This Row],[Patient_ID]],Billing!$A:$G,2,FALSE)</f>
        <v>B107</v>
      </c>
      <c r="X145" s="52">
        <f>VLOOKUP(appointments7[[#This Row],[Patient_ID]],Billing!$A:$H,4,FALSE)</f>
        <v>45033</v>
      </c>
      <c r="Y145" s="54">
        <f>VLOOKUP(appointments7[[#This Row],[Patient_ID]],Billing!$A:$G,5,FALSE)</f>
        <v>3512.69</v>
      </c>
      <c r="Z145" s="54" t="str">
        <f>VLOOKUP(appointments7[[#This Row],[Patient_ID]],Billing!$A:$G,6,FALSE)</f>
        <v>Credit Card</v>
      </c>
      <c r="AA145" s="52" t="str">
        <f>VLOOKUP(appointments7[[#This Row],[Patient_ID]],Billing!$A:$G,7,FALSE)</f>
        <v>Pending</v>
      </c>
      <c r="AB145" s="2"/>
      <c r="AC145" s="2"/>
    </row>
    <row r="146" spans="1:29" x14ac:dyDescent="0.4">
      <c r="A146" s="51" t="s">
        <v>216</v>
      </c>
      <c r="B146" s="51" t="s">
        <v>163</v>
      </c>
      <c r="C146" s="51" t="s">
        <v>904</v>
      </c>
      <c r="D146" s="51" t="str">
        <f>VLOOKUP(appointments7[[#This Row],[Patient_ID]],Patients!$A:$K,4,FALSE)</f>
        <v>F</v>
      </c>
      <c r="E146" s="52">
        <f>VLOOKUP(appointments7[[#This Row],[Patient_ID]],Patients!$A:$K,5,FALSE)</f>
        <v>32667</v>
      </c>
      <c r="F146" s="51">
        <f>VLOOKUP(appointments7[[#This Row],[Patient_ID]],Patients!$A:$K,6,FALSE)</f>
        <v>6278710077</v>
      </c>
      <c r="G146" s="51" t="str">
        <f>VLOOKUP(appointments7[[#This Row],[Patient_ID]],Patients!$A:$K,7,FALSE)</f>
        <v>789 Pine Rd</v>
      </c>
      <c r="H146" s="52">
        <f>VLOOKUP(appointments7[[#This Row],[Patient_ID]],Patients!$A:$K,8,FALSE)</f>
        <v>44555</v>
      </c>
      <c r="I146" s="51" t="str">
        <f>VLOOKUP(appointments7[[#This Row],[Patient_ID]],Patients!$A:$K,11,FALSE)</f>
        <v>alex.johnson@mail.com</v>
      </c>
      <c r="J146" s="51" t="s">
        <v>48</v>
      </c>
      <c r="K146" s="51" t="s">
        <v>913</v>
      </c>
      <c r="L146" s="51" t="str">
        <f>VLOOKUP(appointments7[[#This Row],[Doctor_ID]],Doctors!$A:$H,4,FALSE)</f>
        <v>Pediatrics</v>
      </c>
      <c r="M146" s="51">
        <f>VLOOKUP(appointments7[[#This Row],[Doctor_ID]],Doctors!$A:$H,5,FALSE)</f>
        <v>9004382050</v>
      </c>
      <c r="N146" s="51" t="str">
        <f>VLOOKUP(appointments7[[#This Row],[Doctor_ID]],Doctors!$A:$H,7,FALSE)</f>
        <v>Eastside Clinic</v>
      </c>
      <c r="O146" s="52">
        <v>45241</v>
      </c>
      <c r="P146" s="53">
        <v>0.61458333333333326</v>
      </c>
      <c r="Q146" s="51" t="s">
        <v>29</v>
      </c>
      <c r="R146" s="51" t="s">
        <v>11</v>
      </c>
      <c r="S146" s="51" t="str">
        <f>VLOOKUP(appointments7[[#This Row],[Appointment_ID]],Treatments!$A:$F,2,FALSE)</f>
        <v>T145</v>
      </c>
      <c r="T146" s="51" t="str">
        <f>VLOOKUP(appointments7[[#This Row],[Appointment_ID]],Treatments!$A:$F,3,FALSE)</f>
        <v>X-Ray</v>
      </c>
      <c r="U146" s="54">
        <f>VLOOKUP(treatments[[#This Row],[appointment_id]],Treatments!$A:$F,5,FALSE)</f>
        <v>2120.61</v>
      </c>
      <c r="V146" s="52">
        <f>VLOOKUP(appointments7[[#This Row],[Appointment_ID]],Treatments!$A:$F,6,FALSE)</f>
        <v>45241</v>
      </c>
      <c r="W146" s="52" t="str">
        <f>VLOOKUP(appointments7[[#This Row],[Patient_ID]],Billing!$A:$G,2,FALSE)</f>
        <v>B095</v>
      </c>
      <c r="X146" s="52">
        <f>VLOOKUP(appointments7[[#This Row],[Patient_ID]],Billing!$A:$H,4,FALSE)</f>
        <v>45055</v>
      </c>
      <c r="Y146" s="54">
        <f>VLOOKUP(appointments7[[#This Row],[Patient_ID]],Billing!$A:$G,5,FALSE)</f>
        <v>2097.48</v>
      </c>
      <c r="Z146" s="54" t="str">
        <f>VLOOKUP(appointments7[[#This Row],[Patient_ID]],Billing!$A:$G,6,FALSE)</f>
        <v>Cash</v>
      </c>
      <c r="AA146" s="52" t="str">
        <f>VLOOKUP(appointments7[[#This Row],[Patient_ID]],Billing!$A:$G,7,FALSE)</f>
        <v>Failed</v>
      </c>
      <c r="AB146" s="2"/>
      <c r="AC146" s="2"/>
    </row>
    <row r="147" spans="1:29" x14ac:dyDescent="0.4">
      <c r="A147" s="51" t="s">
        <v>217</v>
      </c>
      <c r="B147" s="51" t="s">
        <v>63</v>
      </c>
      <c r="C147" s="51" t="s">
        <v>871</v>
      </c>
      <c r="D147" s="51" t="str">
        <f>VLOOKUP(appointments7[[#This Row],[Patient_ID]],Patients!$A:$K,4,FALSE)</f>
        <v>M</v>
      </c>
      <c r="E147" s="52">
        <f>VLOOKUP(appointments7[[#This Row],[Patient_ID]],Patients!$A:$K,5,FALSE)</f>
        <v>34072</v>
      </c>
      <c r="F147" s="51">
        <f>VLOOKUP(appointments7[[#This Row],[Patient_ID]],Patients!$A:$K,6,FALSE)</f>
        <v>7028910482</v>
      </c>
      <c r="G147" s="51" t="str">
        <f>VLOOKUP(appointments7[[#This Row],[Patient_ID]],Patients!$A:$K,7,FALSE)</f>
        <v>321 Maple Dr</v>
      </c>
      <c r="H147" s="52">
        <f>VLOOKUP(appointments7[[#This Row],[Patient_ID]],Patients!$A:$K,8,FALSE)</f>
        <v>45066</v>
      </c>
      <c r="I147" s="51" t="str">
        <f>VLOOKUP(appointments7[[#This Row],[Patient_ID]],Patients!$A:$K,11,FALSE)</f>
        <v>alex.moore@mail.com</v>
      </c>
      <c r="J147" s="51" t="s">
        <v>22</v>
      </c>
      <c r="K147" s="51" t="s">
        <v>910</v>
      </c>
      <c r="L147" s="51" t="str">
        <f>VLOOKUP(appointments7[[#This Row],[Doctor_ID]],Doctors!$A:$H,4,FALSE)</f>
        <v>Pediatrics</v>
      </c>
      <c r="M147" s="51">
        <f>VLOOKUP(appointments7[[#This Row],[Doctor_ID]],Doctors!$A:$H,5,FALSE)</f>
        <v>6570137231</v>
      </c>
      <c r="N147" s="51" t="str">
        <f>VLOOKUP(appointments7[[#This Row],[Doctor_ID]],Doctors!$A:$H,7,FALSE)</f>
        <v>Central Hospital</v>
      </c>
      <c r="O147" s="52">
        <v>44931</v>
      </c>
      <c r="P147" s="53">
        <v>0.39583333333333326</v>
      </c>
      <c r="Q147" s="51" t="s">
        <v>26</v>
      </c>
      <c r="R147" s="51" t="s">
        <v>15</v>
      </c>
      <c r="S147" s="51" t="str">
        <f>VLOOKUP(appointments7[[#This Row],[Appointment_ID]],Treatments!$A:$F,2,FALSE)</f>
        <v>T146</v>
      </c>
      <c r="T147" s="51" t="str">
        <f>VLOOKUP(appointments7[[#This Row],[Appointment_ID]],Treatments!$A:$F,3,FALSE)</f>
        <v>MRI</v>
      </c>
      <c r="U147" s="54">
        <f>VLOOKUP(treatments[[#This Row],[appointment_id]],Treatments!$A:$F,5,FALSE)</f>
        <v>894.39</v>
      </c>
      <c r="V147" s="52">
        <f>VLOOKUP(appointments7[[#This Row],[Appointment_ID]],Treatments!$A:$F,6,FALSE)</f>
        <v>44931</v>
      </c>
      <c r="W147" s="52" t="str">
        <f>VLOOKUP(appointments7[[#This Row],[Patient_ID]],Billing!$A:$G,2,FALSE)</f>
        <v>B021</v>
      </c>
      <c r="X147" s="52">
        <f>VLOOKUP(appointments7[[#This Row],[Patient_ID]],Billing!$A:$H,4,FALSE)</f>
        <v>45040</v>
      </c>
      <c r="Y147" s="54">
        <f>VLOOKUP(appointments7[[#This Row],[Patient_ID]],Billing!$A:$G,5,FALSE)</f>
        <v>2926.23</v>
      </c>
      <c r="Z147" s="54" t="str">
        <f>VLOOKUP(appointments7[[#This Row],[Patient_ID]],Billing!$A:$G,6,FALSE)</f>
        <v>Insurance</v>
      </c>
      <c r="AA147" s="52" t="str">
        <f>VLOOKUP(appointments7[[#This Row],[Patient_ID]],Billing!$A:$G,7,FALSE)</f>
        <v>Failed</v>
      </c>
      <c r="AB147" s="2"/>
      <c r="AC147" s="2"/>
    </row>
    <row r="148" spans="1:29" x14ac:dyDescent="0.4">
      <c r="A148" s="51" t="s">
        <v>218</v>
      </c>
      <c r="B148" s="51" t="s">
        <v>61</v>
      </c>
      <c r="C148" s="51" t="s">
        <v>886</v>
      </c>
      <c r="D148" s="51" t="str">
        <f>VLOOKUP(appointments7[[#This Row],[Patient_ID]],Patients!$A:$K,4,FALSE)</f>
        <v>M</v>
      </c>
      <c r="E148" s="52">
        <f>VLOOKUP(appointments7[[#This Row],[Patient_ID]],Patients!$A:$K,5,FALSE)</f>
        <v>24895</v>
      </c>
      <c r="F148" s="51">
        <f>VLOOKUP(appointments7[[#This Row],[Patient_ID]],Patients!$A:$K,6,FALSE)</f>
        <v>7292262512</v>
      </c>
      <c r="G148" s="51" t="str">
        <f>VLOOKUP(appointments7[[#This Row],[Patient_ID]],Patients!$A:$K,7,FALSE)</f>
        <v>789 Pine Rd</v>
      </c>
      <c r="H148" s="52">
        <f>VLOOKUP(appointments7[[#This Row],[Patient_ID]],Patients!$A:$K,8,FALSE)</f>
        <v>45272</v>
      </c>
      <c r="I148" s="51" t="str">
        <f>VLOOKUP(appointments7[[#This Row],[Patient_ID]],Patients!$A:$K,11,FALSE)</f>
        <v>alex.taylor@mail.com</v>
      </c>
      <c r="J148" s="51" t="s">
        <v>48</v>
      </c>
      <c r="K148" s="51" t="s">
        <v>913</v>
      </c>
      <c r="L148" s="51" t="str">
        <f>VLOOKUP(appointments7[[#This Row],[Doctor_ID]],Doctors!$A:$H,4,FALSE)</f>
        <v>Pediatrics</v>
      </c>
      <c r="M148" s="51">
        <f>VLOOKUP(appointments7[[#This Row],[Doctor_ID]],Doctors!$A:$H,5,FALSE)</f>
        <v>9004382050</v>
      </c>
      <c r="N148" s="51" t="str">
        <f>VLOOKUP(appointments7[[#This Row],[Doctor_ID]],Doctors!$A:$H,7,FALSE)</f>
        <v>Eastside Clinic</v>
      </c>
      <c r="O148" s="52">
        <v>45243</v>
      </c>
      <c r="P148" s="53">
        <v>0.72916666666666674</v>
      </c>
      <c r="Q148" s="51" t="s">
        <v>26</v>
      </c>
      <c r="R148" s="51" t="s">
        <v>41</v>
      </c>
      <c r="S148" s="51" t="str">
        <f>VLOOKUP(appointments7[[#This Row],[Appointment_ID]],Treatments!$A:$F,2,FALSE)</f>
        <v>T147</v>
      </c>
      <c r="T148" s="51" t="str">
        <f>VLOOKUP(appointments7[[#This Row],[Appointment_ID]],Treatments!$A:$F,3,FALSE)</f>
        <v>MRI</v>
      </c>
      <c r="U148" s="54">
        <f>VLOOKUP(treatments[[#This Row],[appointment_id]],Treatments!$A:$F,5,FALSE)</f>
        <v>4716.3100000000004</v>
      </c>
      <c r="V148" s="52">
        <f>VLOOKUP(appointments7[[#This Row],[Appointment_ID]],Treatments!$A:$F,6,FALSE)</f>
        <v>45243</v>
      </c>
      <c r="W148" s="52" t="str">
        <f>VLOOKUP(appointments7[[#This Row],[Patient_ID]],Billing!$A:$G,2,FALSE)</f>
        <v>B020</v>
      </c>
      <c r="X148" s="52">
        <f>VLOOKUP(appointments7[[#This Row],[Patient_ID]],Billing!$A:$H,4,FALSE)</f>
        <v>45265</v>
      </c>
      <c r="Y148" s="54">
        <f>VLOOKUP(appointments7[[#This Row],[Patient_ID]],Billing!$A:$G,5,FALSE)</f>
        <v>4113.62</v>
      </c>
      <c r="Z148" s="54" t="str">
        <f>VLOOKUP(appointments7[[#This Row],[Patient_ID]],Billing!$A:$G,6,FALSE)</f>
        <v>Credit Card</v>
      </c>
      <c r="AA148" s="52" t="str">
        <f>VLOOKUP(appointments7[[#This Row],[Patient_ID]],Billing!$A:$G,7,FALSE)</f>
        <v>Failed</v>
      </c>
      <c r="AB148" s="2"/>
      <c r="AC148" s="2"/>
    </row>
    <row r="149" spans="1:29" x14ac:dyDescent="0.4">
      <c r="A149" s="51" t="s">
        <v>219</v>
      </c>
      <c r="B149" s="51" t="s">
        <v>97</v>
      </c>
      <c r="C149" s="51" t="s">
        <v>892</v>
      </c>
      <c r="D149" s="51" t="str">
        <f>VLOOKUP(appointments7[[#This Row],[Patient_ID]],Patients!$A:$K,4,FALSE)</f>
        <v>M</v>
      </c>
      <c r="E149" s="52">
        <f>VLOOKUP(appointments7[[#This Row],[Patient_ID]],Patients!$A:$K,5,FALSE)</f>
        <v>31791</v>
      </c>
      <c r="F149" s="51">
        <f>VLOOKUP(appointments7[[#This Row],[Patient_ID]],Patients!$A:$K,6,FALSE)</f>
        <v>8280346676</v>
      </c>
      <c r="G149" s="51" t="str">
        <f>VLOOKUP(appointments7[[#This Row],[Patient_ID]],Patients!$A:$K,7,FALSE)</f>
        <v>321 Maple Dr</v>
      </c>
      <c r="H149" s="52">
        <f>VLOOKUP(appointments7[[#This Row],[Patient_ID]],Patients!$A:$K,8,FALSE)</f>
        <v>44740</v>
      </c>
      <c r="I149" s="51" t="str">
        <f>VLOOKUP(appointments7[[#This Row],[Patient_ID]],Patients!$A:$K,11,FALSE)</f>
        <v>robert.miller@mail.com</v>
      </c>
      <c r="J149" s="51" t="s">
        <v>48</v>
      </c>
      <c r="K149" s="51" t="s">
        <v>913</v>
      </c>
      <c r="L149" s="51" t="str">
        <f>VLOOKUP(appointments7[[#This Row],[Doctor_ID]],Doctors!$A:$H,4,FALSE)</f>
        <v>Pediatrics</v>
      </c>
      <c r="M149" s="51">
        <f>VLOOKUP(appointments7[[#This Row],[Doctor_ID]],Doctors!$A:$H,5,FALSE)</f>
        <v>9004382050</v>
      </c>
      <c r="N149" s="51" t="str">
        <f>VLOOKUP(appointments7[[#This Row],[Doctor_ID]],Doctors!$A:$H,7,FALSE)</f>
        <v>Eastside Clinic</v>
      </c>
      <c r="O149" s="52">
        <v>45266</v>
      </c>
      <c r="P149" s="53">
        <v>0.35416666666666674</v>
      </c>
      <c r="Q149" s="51" t="s">
        <v>18</v>
      </c>
      <c r="R149" s="51" t="s">
        <v>11</v>
      </c>
      <c r="S149" s="51" t="str">
        <f>VLOOKUP(appointments7[[#This Row],[Appointment_ID]],Treatments!$A:$F,2,FALSE)</f>
        <v>T148</v>
      </c>
      <c r="T149" s="51" t="str">
        <f>VLOOKUP(appointments7[[#This Row],[Appointment_ID]],Treatments!$A:$F,3,FALSE)</f>
        <v>Physiotherapy</v>
      </c>
      <c r="U149" s="54">
        <f>VLOOKUP(treatments[[#This Row],[appointment_id]],Treatments!$A:$F,5,FALSE)</f>
        <v>2992.11</v>
      </c>
      <c r="V149" s="52">
        <f>VLOOKUP(appointments7[[#This Row],[Appointment_ID]],Treatments!$A:$F,6,FALSE)</f>
        <v>45266</v>
      </c>
      <c r="W149" s="52" t="str">
        <f>VLOOKUP(appointments7[[#This Row],[Patient_ID]],Billing!$A:$G,2,FALSE)</f>
        <v>B044</v>
      </c>
      <c r="X149" s="52">
        <f>VLOOKUP(appointments7[[#This Row],[Patient_ID]],Billing!$A:$H,4,FALSE)</f>
        <v>45189</v>
      </c>
      <c r="Y149" s="54">
        <f>VLOOKUP(appointments7[[#This Row],[Patient_ID]],Billing!$A:$G,5,FALSE)</f>
        <v>4186.3500000000004</v>
      </c>
      <c r="Z149" s="54" t="str">
        <f>VLOOKUP(appointments7[[#This Row],[Patient_ID]],Billing!$A:$G,6,FALSE)</f>
        <v>Insurance</v>
      </c>
      <c r="AA149" s="52" t="str">
        <f>VLOOKUP(appointments7[[#This Row],[Patient_ID]],Billing!$A:$G,7,FALSE)</f>
        <v>Paid</v>
      </c>
      <c r="AB149" s="2"/>
      <c r="AC149" s="2"/>
    </row>
    <row r="150" spans="1:29" x14ac:dyDescent="0.4">
      <c r="A150" s="51" t="s">
        <v>220</v>
      </c>
      <c r="B150" s="51" t="s">
        <v>100</v>
      </c>
      <c r="C150" s="51" t="s">
        <v>893</v>
      </c>
      <c r="D150" s="51" t="str">
        <f>VLOOKUP(appointments7[[#This Row],[Patient_ID]],Patients!$A:$K,4,FALSE)</f>
        <v>M</v>
      </c>
      <c r="E150" s="52">
        <f>VLOOKUP(appointments7[[#This Row],[Patient_ID]],Patients!$A:$K,5,FALSE)</f>
        <v>27538</v>
      </c>
      <c r="F150" s="51">
        <f>VLOOKUP(appointments7[[#This Row],[Patient_ID]],Patients!$A:$K,6,FALSE)</f>
        <v>8618058864</v>
      </c>
      <c r="G150" s="51" t="str">
        <f>VLOOKUP(appointments7[[#This Row],[Patient_ID]],Patients!$A:$K,7,FALSE)</f>
        <v>789 Pine Rd</v>
      </c>
      <c r="H150" s="52">
        <f>VLOOKUP(appointments7[[#This Row],[Patient_ID]],Patients!$A:$K,8,FALSE)</f>
        <v>45101</v>
      </c>
      <c r="I150" s="51" t="str">
        <f>VLOOKUP(appointments7[[#This Row],[Patient_ID]],Patients!$A:$K,11,FALSE)</f>
        <v>sarah.miller@mail.com</v>
      </c>
      <c r="J150" s="51" t="s">
        <v>48</v>
      </c>
      <c r="K150" s="51" t="s">
        <v>913</v>
      </c>
      <c r="L150" s="51" t="str">
        <f>VLOOKUP(appointments7[[#This Row],[Doctor_ID]],Doctors!$A:$H,4,FALSE)</f>
        <v>Pediatrics</v>
      </c>
      <c r="M150" s="51">
        <f>VLOOKUP(appointments7[[#This Row],[Doctor_ID]],Doctors!$A:$H,5,FALSE)</f>
        <v>9004382050</v>
      </c>
      <c r="N150" s="51" t="str">
        <f>VLOOKUP(appointments7[[#This Row],[Doctor_ID]],Doctors!$A:$H,7,FALSE)</f>
        <v>Eastside Clinic</v>
      </c>
      <c r="O150" s="52">
        <v>45133</v>
      </c>
      <c r="P150" s="53">
        <v>0.52083333333333326</v>
      </c>
      <c r="Q150" s="51" t="s">
        <v>38</v>
      </c>
      <c r="R150" s="51" t="s">
        <v>41</v>
      </c>
      <c r="S150" s="51" t="str">
        <f>VLOOKUP(appointments7[[#This Row],[Appointment_ID]],Treatments!$A:$F,2,FALSE)</f>
        <v>T149</v>
      </c>
      <c r="T150" s="51" t="str">
        <f>VLOOKUP(appointments7[[#This Row],[Appointment_ID]],Treatments!$A:$F,3,FALSE)</f>
        <v>Physiotherapy</v>
      </c>
      <c r="U150" s="54">
        <f>VLOOKUP(treatments[[#This Row],[appointment_id]],Treatments!$A:$F,5,FALSE)</f>
        <v>1874.86</v>
      </c>
      <c r="V150" s="52">
        <f>VLOOKUP(appointments7[[#This Row],[Appointment_ID]],Treatments!$A:$F,6,FALSE)</f>
        <v>45133</v>
      </c>
      <c r="W150" s="52" t="str">
        <f>VLOOKUP(appointments7[[#This Row],[Patient_ID]],Billing!$A:$G,2,FALSE)</f>
        <v>B046</v>
      </c>
      <c r="X150" s="52">
        <f>VLOOKUP(appointments7[[#This Row],[Patient_ID]],Billing!$A:$H,4,FALSE)</f>
        <v>45280</v>
      </c>
      <c r="Y150" s="54">
        <f>VLOOKUP(appointments7[[#This Row],[Patient_ID]],Billing!$A:$G,5,FALSE)</f>
        <v>1526.36</v>
      </c>
      <c r="Z150" s="54" t="str">
        <f>VLOOKUP(appointments7[[#This Row],[Patient_ID]],Billing!$A:$G,6,FALSE)</f>
        <v>Cash</v>
      </c>
      <c r="AA150" s="52" t="str">
        <f>VLOOKUP(appointments7[[#This Row],[Patient_ID]],Billing!$A:$G,7,FALSE)</f>
        <v>Paid</v>
      </c>
      <c r="AB150" s="2"/>
      <c r="AC150" s="2"/>
    </row>
    <row r="151" spans="1:29" x14ac:dyDescent="0.4">
      <c r="A151" s="51" t="s">
        <v>221</v>
      </c>
      <c r="B151" s="51" t="s">
        <v>66</v>
      </c>
      <c r="C151" s="51" t="s">
        <v>887</v>
      </c>
      <c r="D151" s="51" t="str">
        <f>VLOOKUP(appointments7[[#This Row],[Patient_ID]],Patients!$A:$K,4,FALSE)</f>
        <v>M</v>
      </c>
      <c r="E151" s="52">
        <f>VLOOKUP(appointments7[[#This Row],[Patient_ID]],Patients!$A:$K,5,FALSE)</f>
        <v>35046</v>
      </c>
      <c r="F151" s="51">
        <f>VLOOKUP(appointments7[[#This Row],[Patient_ID]],Patients!$A:$K,6,FALSE)</f>
        <v>8715732851</v>
      </c>
      <c r="G151" s="51" t="str">
        <f>VLOOKUP(appointments7[[#This Row],[Patient_ID]],Patients!$A:$K,7,FALSE)</f>
        <v>321 Maple Dr</v>
      </c>
      <c r="H151" s="52">
        <f>VLOOKUP(appointments7[[#This Row],[Patient_ID]],Patients!$A:$K,8,FALSE)</f>
        <v>44701</v>
      </c>
      <c r="I151" s="51" t="str">
        <f>VLOOKUP(appointments7[[#This Row],[Patient_ID]],Patients!$A:$K,11,FALSE)</f>
        <v>jane.moore@mail.com</v>
      </c>
      <c r="J151" s="51" t="s">
        <v>25</v>
      </c>
      <c r="K151" s="51" t="s">
        <v>906</v>
      </c>
      <c r="L151" s="51" t="str">
        <f>VLOOKUP(appointments7[[#This Row],[Doctor_ID]],Doctors!$A:$H,4,FALSE)</f>
        <v>Pediatrics</v>
      </c>
      <c r="M151" s="51">
        <f>VLOOKUP(appointments7[[#This Row],[Doctor_ID]],Doctors!$A:$H,5,FALSE)</f>
        <v>8737740598</v>
      </c>
      <c r="N151" s="51" t="str">
        <f>VLOOKUP(appointments7[[#This Row],[Doctor_ID]],Doctors!$A:$H,7,FALSE)</f>
        <v>Eastside Clinic</v>
      </c>
      <c r="O151" s="52">
        <v>45154</v>
      </c>
      <c r="P151" s="53">
        <v>0.44791666666666674</v>
      </c>
      <c r="Q151" s="51" t="s">
        <v>10</v>
      </c>
      <c r="R151" s="51" t="s">
        <v>41</v>
      </c>
      <c r="S151" s="51" t="str">
        <f>VLOOKUP(appointments7[[#This Row],[Appointment_ID]],Treatments!$A:$F,2,FALSE)</f>
        <v>T150</v>
      </c>
      <c r="T151" s="51" t="str">
        <f>VLOOKUP(appointments7[[#This Row],[Appointment_ID]],Treatments!$A:$F,3,FALSE)</f>
        <v>ECG</v>
      </c>
      <c r="U151" s="54">
        <f>VLOOKUP(treatments[[#This Row],[appointment_id]],Treatments!$A:$F,5,FALSE)</f>
        <v>2286.42</v>
      </c>
      <c r="V151" s="52">
        <f>VLOOKUP(appointments7[[#This Row],[Appointment_ID]],Treatments!$A:$F,6,FALSE)</f>
        <v>45154</v>
      </c>
      <c r="W151" s="52" t="str">
        <f>VLOOKUP(appointments7[[#This Row],[Patient_ID]],Billing!$A:$G,2,FALSE)</f>
        <v>B023</v>
      </c>
      <c r="X151" s="52">
        <f>VLOOKUP(appointments7[[#This Row],[Patient_ID]],Billing!$A:$H,4,FALSE)</f>
        <v>45055</v>
      </c>
      <c r="Y151" s="54">
        <f>VLOOKUP(appointments7[[#This Row],[Patient_ID]],Billing!$A:$G,5,FALSE)</f>
        <v>3246.5</v>
      </c>
      <c r="Z151" s="54" t="str">
        <f>VLOOKUP(appointments7[[#This Row],[Patient_ID]],Billing!$A:$G,6,FALSE)</f>
        <v>Credit Card</v>
      </c>
      <c r="AA151" s="52" t="str">
        <f>VLOOKUP(appointments7[[#This Row],[Patient_ID]],Billing!$A:$G,7,FALSE)</f>
        <v>Pending</v>
      </c>
      <c r="AB151" s="2"/>
      <c r="AC151" s="2"/>
    </row>
    <row r="152" spans="1:29" x14ac:dyDescent="0.4">
      <c r="A152" s="51" t="s">
        <v>222</v>
      </c>
      <c r="B152" s="51" t="s">
        <v>34</v>
      </c>
      <c r="C152" s="51" t="s">
        <v>877</v>
      </c>
      <c r="D152" s="51" t="str">
        <f>VLOOKUP(appointments7[[#This Row],[Patient_ID]],Patients!$A:$K,4,FALSE)</f>
        <v>M</v>
      </c>
      <c r="E152" s="52">
        <f>VLOOKUP(appointments7[[#This Row],[Patient_ID]],Patients!$A:$K,5,FALSE)</f>
        <v>36729</v>
      </c>
      <c r="F152" s="51">
        <f>VLOOKUP(appointments7[[#This Row],[Patient_ID]],Patients!$A:$K,6,FALSE)</f>
        <v>7223380592</v>
      </c>
      <c r="G152" s="51" t="str">
        <f>VLOOKUP(appointments7[[#This Row],[Patient_ID]],Patients!$A:$K,7,FALSE)</f>
        <v>789 Pine Rd</v>
      </c>
      <c r="H152" s="52">
        <f>VLOOKUP(appointments7[[#This Row],[Patient_ID]],Patients!$A:$K,8,FALSE)</f>
        <v>44400</v>
      </c>
      <c r="I152" s="51" t="str">
        <f>VLOOKUP(appointments7[[#This Row],[Patient_ID]],Patients!$A:$K,11,FALSE)</f>
        <v>michael.taylor@mail.com</v>
      </c>
      <c r="J152" s="51" t="s">
        <v>48</v>
      </c>
      <c r="K152" s="51" t="s">
        <v>913</v>
      </c>
      <c r="L152" s="51" t="str">
        <f>VLOOKUP(appointments7[[#This Row],[Doctor_ID]],Doctors!$A:$H,4,FALSE)</f>
        <v>Pediatrics</v>
      </c>
      <c r="M152" s="51">
        <f>VLOOKUP(appointments7[[#This Row],[Doctor_ID]],Doctors!$A:$H,5,FALSE)</f>
        <v>9004382050</v>
      </c>
      <c r="N152" s="51" t="str">
        <f>VLOOKUP(appointments7[[#This Row],[Doctor_ID]],Doctors!$A:$H,7,FALSE)</f>
        <v>Eastside Clinic</v>
      </c>
      <c r="O152" s="52">
        <v>44954</v>
      </c>
      <c r="P152" s="53">
        <v>0.38541666666666674</v>
      </c>
      <c r="Q152" s="51" t="s">
        <v>10</v>
      </c>
      <c r="R152" s="51" t="s">
        <v>11</v>
      </c>
      <c r="S152" s="51" t="str">
        <f>VLOOKUP(appointments7[[#This Row],[Appointment_ID]],Treatments!$A:$F,2,FALSE)</f>
        <v>T151</v>
      </c>
      <c r="T152" s="51" t="str">
        <f>VLOOKUP(appointments7[[#This Row],[Appointment_ID]],Treatments!$A:$F,3,FALSE)</f>
        <v>Chemotherapy</v>
      </c>
      <c r="U152" s="54">
        <f>VLOOKUP(treatments[[#This Row],[appointment_id]],Treatments!$A:$F,5,FALSE)</f>
        <v>2512.41</v>
      </c>
      <c r="V152" s="52">
        <f>VLOOKUP(appointments7[[#This Row],[Appointment_ID]],Treatments!$A:$F,6,FALSE)</f>
        <v>44954</v>
      </c>
      <c r="W152" s="52" t="str">
        <f>VLOOKUP(appointments7[[#This Row],[Patient_ID]],Billing!$A:$G,2,FALSE)</f>
        <v>B008</v>
      </c>
      <c r="X152" s="52">
        <f>VLOOKUP(appointments7[[#This Row],[Patient_ID]],Billing!$A:$H,4,FALSE)</f>
        <v>45070</v>
      </c>
      <c r="Y152" s="54">
        <f>VLOOKUP(appointments7[[#This Row],[Patient_ID]],Billing!$A:$G,5,FALSE)</f>
        <v>3413.64</v>
      </c>
      <c r="Z152" s="54" t="str">
        <f>VLOOKUP(appointments7[[#This Row],[Patient_ID]],Billing!$A:$G,6,FALSE)</f>
        <v>Cash</v>
      </c>
      <c r="AA152" s="52" t="str">
        <f>VLOOKUP(appointments7[[#This Row],[Patient_ID]],Billing!$A:$G,7,FALSE)</f>
        <v>Failed</v>
      </c>
      <c r="AB152" s="2"/>
      <c r="AC152" s="2"/>
    </row>
    <row r="153" spans="1:29" x14ac:dyDescent="0.4">
      <c r="A153" s="51" t="s">
        <v>223</v>
      </c>
      <c r="B153" s="51" t="s">
        <v>40</v>
      </c>
      <c r="C153" s="51" t="s">
        <v>879</v>
      </c>
      <c r="D153" s="51" t="str">
        <f>VLOOKUP(appointments7[[#This Row],[Patient_ID]],Patients!$A:$K,4,FALSE)</f>
        <v>M</v>
      </c>
      <c r="E153" s="52">
        <f>VLOOKUP(appointments7[[#This Row],[Patient_ID]],Patients!$A:$K,5,FALSE)</f>
        <v>22090</v>
      </c>
      <c r="F153" s="51">
        <f>VLOOKUP(appointments7[[#This Row],[Patient_ID]],Patients!$A:$K,6,FALSE)</f>
        <v>7734463155</v>
      </c>
      <c r="G153" s="51" t="str">
        <f>VLOOKUP(appointments7[[#This Row],[Patient_ID]],Patients!$A:$K,7,FALSE)</f>
        <v>123 Elm St</v>
      </c>
      <c r="H153" s="52">
        <f>VLOOKUP(appointments7[[#This Row],[Patient_ID]],Patients!$A:$K,8,FALSE)</f>
        <v>44468</v>
      </c>
      <c r="I153" s="51" t="str">
        <f>VLOOKUP(appointments7[[#This Row],[Patient_ID]],Patients!$A:$K,11,FALSE)</f>
        <v>david.wilson@mail.com</v>
      </c>
      <c r="J153" s="51" t="s">
        <v>14</v>
      </c>
      <c r="K153" s="51" t="s">
        <v>909</v>
      </c>
      <c r="L153" s="51" t="str">
        <f>VLOOKUP(appointments7[[#This Row],[Doctor_ID]],Doctors!$A:$H,4,FALSE)</f>
        <v>Pediatrics</v>
      </c>
      <c r="M153" s="51">
        <f>VLOOKUP(appointments7[[#This Row],[Doctor_ID]],Doctors!$A:$H,5,FALSE)</f>
        <v>6594221991</v>
      </c>
      <c r="N153" s="51" t="str">
        <f>VLOOKUP(appointments7[[#This Row],[Doctor_ID]],Doctors!$A:$H,7,FALSE)</f>
        <v>Central Hospital</v>
      </c>
      <c r="O153" s="52">
        <v>45030</v>
      </c>
      <c r="P153" s="53">
        <v>0.35416666666666674</v>
      </c>
      <c r="Q153" s="51" t="s">
        <v>10</v>
      </c>
      <c r="R153" s="51" t="s">
        <v>41</v>
      </c>
      <c r="S153" s="51" t="str">
        <f>VLOOKUP(appointments7[[#This Row],[Appointment_ID]],Treatments!$A:$F,2,FALSE)</f>
        <v>T152</v>
      </c>
      <c r="T153" s="51" t="str">
        <f>VLOOKUP(appointments7[[#This Row],[Appointment_ID]],Treatments!$A:$F,3,FALSE)</f>
        <v>ECG</v>
      </c>
      <c r="U153" s="54">
        <f>VLOOKUP(treatments[[#This Row],[appointment_id]],Treatments!$A:$F,5,FALSE)</f>
        <v>3202.67</v>
      </c>
      <c r="V153" s="52">
        <f>VLOOKUP(appointments7[[#This Row],[Appointment_ID]],Treatments!$A:$F,6,FALSE)</f>
        <v>45030</v>
      </c>
      <c r="W153" s="52" t="str">
        <f>VLOOKUP(appointments7[[#This Row],[Patient_ID]],Billing!$A:$G,2,FALSE)</f>
        <v>B010</v>
      </c>
      <c r="X153" s="52">
        <f>VLOOKUP(appointments7[[#This Row],[Patient_ID]],Billing!$A:$H,4,FALSE)</f>
        <v>44939</v>
      </c>
      <c r="Y153" s="54">
        <f>VLOOKUP(appointments7[[#This Row],[Patient_ID]],Billing!$A:$G,5,FALSE)</f>
        <v>1595.67</v>
      </c>
      <c r="Z153" s="54" t="str">
        <f>VLOOKUP(appointments7[[#This Row],[Patient_ID]],Billing!$A:$G,6,FALSE)</f>
        <v>Cash</v>
      </c>
      <c r="AA153" s="52" t="str">
        <f>VLOOKUP(appointments7[[#This Row],[Patient_ID]],Billing!$A:$G,7,FALSE)</f>
        <v>Paid</v>
      </c>
      <c r="AB153" s="2"/>
      <c r="AC153" s="2"/>
    </row>
    <row r="154" spans="1:29" x14ac:dyDescent="0.4">
      <c r="A154" s="51" t="s">
        <v>224</v>
      </c>
      <c r="B154" s="51" t="s">
        <v>125</v>
      </c>
      <c r="C154" s="51" t="s">
        <v>879</v>
      </c>
      <c r="D154" s="51" t="str">
        <f>VLOOKUP(appointments7[[#This Row],[Patient_ID]],Patients!$A:$K,4,FALSE)</f>
        <v>F</v>
      </c>
      <c r="E154" s="52">
        <f>VLOOKUP(appointments7[[#This Row],[Patient_ID]],Patients!$A:$K,5,FALSE)</f>
        <v>34072</v>
      </c>
      <c r="F154" s="51">
        <f>VLOOKUP(appointments7[[#This Row],[Patient_ID]],Patients!$A:$K,6,FALSE)</f>
        <v>7039619487</v>
      </c>
      <c r="G154" s="51" t="str">
        <f>VLOOKUP(appointments7[[#This Row],[Patient_ID]],Patients!$A:$K,7,FALSE)</f>
        <v>123 Elm St</v>
      </c>
      <c r="H154" s="52">
        <f>VLOOKUP(appointments7[[#This Row],[Patient_ID]],Patients!$A:$K,8,FALSE)</f>
        <v>45116</v>
      </c>
      <c r="I154" s="51" t="str">
        <f>VLOOKUP(appointments7[[#This Row],[Patient_ID]],Patients!$A:$K,11,FALSE)</f>
        <v>david.wilson@mail.com</v>
      </c>
      <c r="J154" s="51" t="s">
        <v>9</v>
      </c>
      <c r="K154" s="51" t="s">
        <v>908</v>
      </c>
      <c r="L154" s="51" t="str">
        <f>VLOOKUP(appointments7[[#This Row],[Doctor_ID]],Doctors!$A:$H,4,FALSE)</f>
        <v>Pediatrics</v>
      </c>
      <c r="M154" s="51">
        <f>VLOOKUP(appointments7[[#This Row],[Doctor_ID]],Doctors!$A:$H,5,FALSE)</f>
        <v>7387087517</v>
      </c>
      <c r="N154" s="51" t="str">
        <f>VLOOKUP(appointments7[[#This Row],[Doctor_ID]],Doctors!$A:$H,7,FALSE)</f>
        <v>Central Hospital</v>
      </c>
      <c r="O154" s="52">
        <v>45115</v>
      </c>
      <c r="P154" s="53">
        <v>0.53125</v>
      </c>
      <c r="Q154" s="51" t="s">
        <v>18</v>
      </c>
      <c r="R154" s="51" t="s">
        <v>41</v>
      </c>
      <c r="S154" s="51" t="str">
        <f>VLOOKUP(appointments7[[#This Row],[Appointment_ID]],Treatments!$A:$F,2,FALSE)</f>
        <v>T153</v>
      </c>
      <c r="T154" s="51" t="str">
        <f>VLOOKUP(appointments7[[#This Row],[Appointment_ID]],Treatments!$A:$F,3,FALSE)</f>
        <v>Physiotherapy</v>
      </c>
      <c r="U154" s="54">
        <f>VLOOKUP(treatments[[#This Row],[appointment_id]],Treatments!$A:$F,5,FALSE)</f>
        <v>2820.56</v>
      </c>
      <c r="V154" s="52">
        <f>VLOOKUP(appointments7[[#This Row],[Appointment_ID]],Treatments!$A:$F,6,FALSE)</f>
        <v>45115</v>
      </c>
      <c r="W154" s="52" t="str">
        <f>VLOOKUP(appointments7[[#This Row],[Patient_ID]],Billing!$A:$G,2,FALSE)</f>
        <v>B064</v>
      </c>
      <c r="X154" s="52">
        <f>VLOOKUP(appointments7[[#This Row],[Patient_ID]],Billing!$A:$H,4,FALSE)</f>
        <v>45077</v>
      </c>
      <c r="Y154" s="54">
        <f>VLOOKUP(appointments7[[#This Row],[Patient_ID]],Billing!$A:$G,5,FALSE)</f>
        <v>3815.93</v>
      </c>
      <c r="Z154" s="54" t="str">
        <f>VLOOKUP(appointments7[[#This Row],[Patient_ID]],Billing!$A:$G,6,FALSE)</f>
        <v>Cash</v>
      </c>
      <c r="AA154" s="52" t="str">
        <f>VLOOKUP(appointments7[[#This Row],[Patient_ID]],Billing!$A:$G,7,FALSE)</f>
        <v>Paid</v>
      </c>
      <c r="AB154" s="2"/>
      <c r="AC154" s="2"/>
    </row>
    <row r="155" spans="1:29" x14ac:dyDescent="0.4">
      <c r="A155" s="51" t="s">
        <v>225</v>
      </c>
      <c r="B155" s="51" t="s">
        <v>50</v>
      </c>
      <c r="C155" s="51" t="s">
        <v>883</v>
      </c>
      <c r="D155" s="51" t="str">
        <f>VLOOKUP(appointments7[[#This Row],[Patient_ID]],Patients!$A:$K,4,FALSE)</f>
        <v>F</v>
      </c>
      <c r="E155" s="52">
        <f>VLOOKUP(appointments7[[#This Row],[Patient_ID]],Patients!$A:$K,5,FALSE)</f>
        <v>33580</v>
      </c>
      <c r="F155" s="51">
        <f>VLOOKUP(appointments7[[#This Row],[Patient_ID]],Patients!$A:$K,6,FALSE)</f>
        <v>8135666049</v>
      </c>
      <c r="G155" s="51" t="str">
        <f>VLOOKUP(appointments7[[#This Row],[Patient_ID]],Patients!$A:$K,7,FALSE)</f>
        <v>321 Maple Dr</v>
      </c>
      <c r="H155" s="52">
        <f>VLOOKUP(appointments7[[#This Row],[Patient_ID]],Patients!$A:$K,8,FALSE)</f>
        <v>45043</v>
      </c>
      <c r="I155" s="51" t="str">
        <f>VLOOKUP(appointments7[[#This Row],[Patient_ID]],Patients!$A:$K,11,FALSE)</f>
        <v>laura.davis@mail.com</v>
      </c>
      <c r="J155" s="51" t="s">
        <v>22</v>
      </c>
      <c r="K155" s="51" t="s">
        <v>910</v>
      </c>
      <c r="L155" s="51" t="str">
        <f>VLOOKUP(appointments7[[#This Row],[Doctor_ID]],Doctors!$A:$H,4,FALSE)</f>
        <v>Pediatrics</v>
      </c>
      <c r="M155" s="51">
        <f>VLOOKUP(appointments7[[#This Row],[Doctor_ID]],Doctors!$A:$H,5,FALSE)</f>
        <v>6570137231</v>
      </c>
      <c r="N155" s="51" t="str">
        <f>VLOOKUP(appointments7[[#This Row],[Doctor_ID]],Doctors!$A:$H,7,FALSE)</f>
        <v>Central Hospital</v>
      </c>
      <c r="O155" s="52">
        <v>44991</v>
      </c>
      <c r="P155" s="53">
        <v>0.72916666666666674</v>
      </c>
      <c r="Q155" s="51" t="s">
        <v>26</v>
      </c>
      <c r="R155" s="51" t="s">
        <v>15</v>
      </c>
      <c r="S155" s="51" t="str">
        <f>VLOOKUP(appointments7[[#This Row],[Appointment_ID]],Treatments!$A:$F,2,FALSE)</f>
        <v>T154</v>
      </c>
      <c r="T155" s="51" t="str">
        <f>VLOOKUP(appointments7[[#This Row],[Appointment_ID]],Treatments!$A:$F,3,FALSE)</f>
        <v>X-Ray</v>
      </c>
      <c r="U155" s="54">
        <f>VLOOKUP(treatments[[#This Row],[appointment_id]],Treatments!$A:$F,5,FALSE)</f>
        <v>4637.26</v>
      </c>
      <c r="V155" s="52">
        <f>VLOOKUP(appointments7[[#This Row],[Appointment_ID]],Treatments!$A:$F,6,FALSE)</f>
        <v>44991</v>
      </c>
      <c r="W155" s="52" t="str">
        <f>VLOOKUP(appointments7[[#This Row],[Patient_ID]],Billing!$A:$G,2,FALSE)</f>
        <v>B014</v>
      </c>
      <c r="X155" s="52">
        <f>VLOOKUP(appointments7[[#This Row],[Patient_ID]],Billing!$A:$H,4,FALSE)</f>
        <v>45071</v>
      </c>
      <c r="Y155" s="54">
        <f>VLOOKUP(appointments7[[#This Row],[Patient_ID]],Billing!$A:$G,5,FALSE)</f>
        <v>2082.3000000000002</v>
      </c>
      <c r="Z155" s="54" t="str">
        <f>VLOOKUP(appointments7[[#This Row],[Patient_ID]],Billing!$A:$G,6,FALSE)</f>
        <v>Credit Card</v>
      </c>
      <c r="AA155" s="52" t="str">
        <f>VLOOKUP(appointments7[[#This Row],[Patient_ID]],Billing!$A:$G,7,FALSE)</f>
        <v>Paid</v>
      </c>
      <c r="AB155" s="2"/>
      <c r="AC155" s="2"/>
    </row>
    <row r="156" spans="1:29" x14ac:dyDescent="0.4">
      <c r="A156" s="51" t="s">
        <v>226</v>
      </c>
      <c r="B156" s="51" t="s">
        <v>21</v>
      </c>
      <c r="C156" s="51" t="s">
        <v>873</v>
      </c>
      <c r="D156" s="51" t="str">
        <f>VLOOKUP(appointments7[[#This Row],[Patient_ID]],Patients!$A:$K,4,FALSE)</f>
        <v>M</v>
      </c>
      <c r="E156" s="52">
        <f>VLOOKUP(appointments7[[#This Row],[Patient_ID]],Patients!$A:$K,5,FALSE)</f>
        <v>24333</v>
      </c>
      <c r="F156" s="51">
        <f>VLOOKUP(appointments7[[#This Row],[Patient_ID]],Patients!$A:$K,6,FALSE)</f>
        <v>7482069727</v>
      </c>
      <c r="G156" s="51" t="str">
        <f>VLOOKUP(appointments7[[#This Row],[Patient_ID]],Patients!$A:$K,7,FALSE)</f>
        <v>123 Elm St</v>
      </c>
      <c r="H156" s="52">
        <f>VLOOKUP(appointments7[[#This Row],[Patient_ID]],Patients!$A:$K,8,FALSE)</f>
        <v>44448</v>
      </c>
      <c r="I156" s="51" t="str">
        <f>VLOOKUP(appointments7[[#This Row],[Patient_ID]],Patients!$A:$K,11,FALSE)</f>
        <v>robert.wilson@mail.com</v>
      </c>
      <c r="J156" s="51" t="s">
        <v>59</v>
      </c>
      <c r="K156" s="51" t="s">
        <v>914</v>
      </c>
      <c r="L156" s="51" t="str">
        <f>VLOOKUP(appointments7[[#This Row],[Doctor_ID]],Doctors!$A:$H,4,FALSE)</f>
        <v>Dermatology</v>
      </c>
      <c r="M156" s="51">
        <f>VLOOKUP(appointments7[[#This Row],[Doctor_ID]],Doctors!$A:$H,5,FALSE)</f>
        <v>8322010158</v>
      </c>
      <c r="N156" s="51" t="str">
        <f>VLOOKUP(appointments7[[#This Row],[Doctor_ID]],Doctors!$A:$H,7,FALSE)</f>
        <v>Westside Clinic</v>
      </c>
      <c r="O156" s="52">
        <v>44929</v>
      </c>
      <c r="P156" s="53">
        <v>0.39583333333333326</v>
      </c>
      <c r="Q156" s="51" t="s">
        <v>18</v>
      </c>
      <c r="R156" s="51" t="s">
        <v>19</v>
      </c>
      <c r="S156" s="51" t="str">
        <f>VLOOKUP(appointments7[[#This Row],[Appointment_ID]],Treatments!$A:$F,2,FALSE)</f>
        <v>T155</v>
      </c>
      <c r="T156" s="51" t="str">
        <f>VLOOKUP(appointments7[[#This Row],[Appointment_ID]],Treatments!$A:$F,3,FALSE)</f>
        <v>Physiotherapy</v>
      </c>
      <c r="U156" s="54">
        <f>VLOOKUP(treatments[[#This Row],[appointment_id]],Treatments!$A:$F,5,FALSE)</f>
        <v>2736.34</v>
      </c>
      <c r="V156" s="52">
        <f>VLOOKUP(appointments7[[#This Row],[Appointment_ID]],Treatments!$A:$F,6,FALSE)</f>
        <v>44929</v>
      </c>
      <c r="W156" s="52" t="str">
        <f>VLOOKUP(appointments7[[#This Row],[Patient_ID]],Billing!$A:$G,2,FALSE)</f>
        <v>B004</v>
      </c>
      <c r="X156" s="52">
        <f>VLOOKUP(appointments7[[#This Row],[Patient_ID]],Billing!$A:$H,4,FALSE)</f>
        <v>45170</v>
      </c>
      <c r="Y156" s="54">
        <f>VLOOKUP(appointments7[[#This Row],[Patient_ID]],Billing!$A:$G,5,FALSE)</f>
        <v>4799.8599999999997</v>
      </c>
      <c r="Z156" s="54" t="str">
        <f>VLOOKUP(appointments7[[#This Row],[Patient_ID]],Billing!$A:$G,6,FALSE)</f>
        <v>Insurance</v>
      </c>
      <c r="AA156" s="52" t="str">
        <f>VLOOKUP(appointments7[[#This Row],[Patient_ID]],Billing!$A:$G,7,FALSE)</f>
        <v>Failed</v>
      </c>
      <c r="AB156" s="2"/>
      <c r="AC156" s="2"/>
    </row>
    <row r="157" spans="1:29" x14ac:dyDescent="0.4">
      <c r="A157" s="51" t="s">
        <v>227</v>
      </c>
      <c r="B157" s="51" t="s">
        <v>81</v>
      </c>
      <c r="C157" s="51" t="s">
        <v>890</v>
      </c>
      <c r="D157" s="51" t="str">
        <f>VLOOKUP(appointments7[[#This Row],[Patient_ID]],Patients!$A:$K,4,FALSE)</f>
        <v>M</v>
      </c>
      <c r="E157" s="52">
        <f>VLOOKUP(appointments7[[#This Row],[Patient_ID]],Patients!$A:$K,5,FALSE)</f>
        <v>37316</v>
      </c>
      <c r="F157" s="51">
        <f>VLOOKUP(appointments7[[#This Row],[Patient_ID]],Patients!$A:$K,6,FALSE)</f>
        <v>7765390555</v>
      </c>
      <c r="G157" s="51" t="str">
        <f>VLOOKUP(appointments7[[#This Row],[Patient_ID]],Patients!$A:$K,7,FALSE)</f>
        <v>321 Maple Dr</v>
      </c>
      <c r="H157" s="52">
        <f>VLOOKUP(appointments7[[#This Row],[Patient_ID]],Patients!$A:$K,8,FALSE)</f>
        <v>44580</v>
      </c>
      <c r="I157" s="51" t="str">
        <f>VLOOKUP(appointments7[[#This Row],[Patient_ID]],Patients!$A:$K,11,FALSE)</f>
        <v>michael.wilson@mail.com</v>
      </c>
      <c r="J157" s="51" t="s">
        <v>54</v>
      </c>
      <c r="K157" s="51" t="s">
        <v>899</v>
      </c>
      <c r="L157" s="51" t="str">
        <f>VLOOKUP(appointments7[[#This Row],[Doctor_ID]],Doctors!$A:$H,4,FALSE)</f>
        <v>Dermatology</v>
      </c>
      <c r="M157" s="51">
        <f>VLOOKUP(appointments7[[#This Row],[Doctor_ID]],Doctors!$A:$H,5,FALSE)</f>
        <v>9069162601</v>
      </c>
      <c r="N157" s="51" t="str">
        <f>VLOOKUP(appointments7[[#This Row],[Doctor_ID]],Doctors!$A:$H,7,FALSE)</f>
        <v>Westside Clinic</v>
      </c>
      <c r="O157" s="52">
        <v>45252</v>
      </c>
      <c r="P157" s="53">
        <v>0.60416666666666674</v>
      </c>
      <c r="Q157" s="51" t="s">
        <v>10</v>
      </c>
      <c r="R157" s="51" t="s">
        <v>41</v>
      </c>
      <c r="S157" s="51" t="str">
        <f>VLOOKUP(appointments7[[#This Row],[Appointment_ID]],Treatments!$A:$F,2,FALSE)</f>
        <v>T156</v>
      </c>
      <c r="T157" s="51" t="str">
        <f>VLOOKUP(appointments7[[#This Row],[Appointment_ID]],Treatments!$A:$F,3,FALSE)</f>
        <v>Chemotherapy</v>
      </c>
      <c r="U157" s="54">
        <f>VLOOKUP(treatments[[#This Row],[appointment_id]],Treatments!$A:$F,5,FALSE)</f>
        <v>4964.71</v>
      </c>
      <c r="V157" s="52">
        <f>VLOOKUP(appointments7[[#This Row],[Appointment_ID]],Treatments!$A:$F,6,FALSE)</f>
        <v>45252</v>
      </c>
      <c r="W157" s="52" t="str">
        <f>VLOOKUP(appointments7[[#This Row],[Patient_ID]],Billing!$A:$G,2,FALSE)</f>
        <v>B033</v>
      </c>
      <c r="X157" s="52">
        <f>VLOOKUP(appointments7[[#This Row],[Patient_ID]],Billing!$A:$H,4,FALSE)</f>
        <v>45192</v>
      </c>
      <c r="Y157" s="54">
        <f>VLOOKUP(appointments7[[#This Row],[Patient_ID]],Billing!$A:$G,5,FALSE)</f>
        <v>980.95</v>
      </c>
      <c r="Z157" s="54" t="str">
        <f>VLOOKUP(appointments7[[#This Row],[Patient_ID]],Billing!$A:$G,6,FALSE)</f>
        <v>Credit Card</v>
      </c>
      <c r="AA157" s="52" t="str">
        <f>VLOOKUP(appointments7[[#This Row],[Patient_ID]],Billing!$A:$G,7,FALSE)</f>
        <v>Paid</v>
      </c>
      <c r="AB157" s="2"/>
      <c r="AC157" s="2"/>
    </row>
    <row r="158" spans="1:29" x14ac:dyDescent="0.4">
      <c r="A158" s="51" t="s">
        <v>228</v>
      </c>
      <c r="B158" s="51" t="s">
        <v>84</v>
      </c>
      <c r="C158" s="51" t="s">
        <v>890</v>
      </c>
      <c r="D158" s="51" t="str">
        <f>VLOOKUP(appointments7[[#This Row],[Patient_ID]],Patients!$A:$K,4,FALSE)</f>
        <v>M</v>
      </c>
      <c r="E158" s="52">
        <f>VLOOKUP(appointments7[[#This Row],[Patient_ID]],Patients!$A:$K,5,FALSE)</f>
        <v>35790</v>
      </c>
      <c r="F158" s="51">
        <f>VLOOKUP(appointments7[[#This Row],[Patient_ID]],Patients!$A:$K,6,FALSE)</f>
        <v>8545613046</v>
      </c>
      <c r="G158" s="51" t="str">
        <f>VLOOKUP(appointments7[[#This Row],[Patient_ID]],Patients!$A:$K,7,FALSE)</f>
        <v>123 Elm St</v>
      </c>
      <c r="H158" s="52">
        <f>VLOOKUP(appointments7[[#This Row],[Patient_ID]],Patients!$A:$K,8,FALSE)</f>
        <v>44838</v>
      </c>
      <c r="I158" s="51" t="str">
        <f>VLOOKUP(appointments7[[#This Row],[Patient_ID]],Patients!$A:$K,11,FALSE)</f>
        <v>michael.wilson@mail.com</v>
      </c>
      <c r="J158" s="51" t="s">
        <v>32</v>
      </c>
      <c r="K158" s="51" t="s">
        <v>911</v>
      </c>
      <c r="L158" s="51" t="str">
        <f>VLOOKUP(appointments7[[#This Row],[Doctor_ID]],Doctors!$A:$H,4,FALSE)</f>
        <v>Oncology</v>
      </c>
      <c r="M158" s="51">
        <f>VLOOKUP(appointments7[[#This Row],[Doctor_ID]],Doctors!$A:$H,5,FALSE)</f>
        <v>8217493115</v>
      </c>
      <c r="N158" s="51" t="str">
        <f>VLOOKUP(appointments7[[#This Row],[Doctor_ID]],Doctors!$A:$H,7,FALSE)</f>
        <v>Westside Clinic</v>
      </c>
      <c r="O158" s="52">
        <v>45058</v>
      </c>
      <c r="P158" s="53">
        <v>0.45833333333333326</v>
      </c>
      <c r="Q158" s="51" t="s">
        <v>38</v>
      </c>
      <c r="R158" s="51" t="s">
        <v>41</v>
      </c>
      <c r="S158" s="51" t="str">
        <f>VLOOKUP(appointments7[[#This Row],[Appointment_ID]],Treatments!$A:$F,2,FALSE)</f>
        <v>T157</v>
      </c>
      <c r="T158" s="51" t="str">
        <f>VLOOKUP(appointments7[[#This Row],[Appointment_ID]],Treatments!$A:$F,3,FALSE)</f>
        <v>Physiotherapy</v>
      </c>
      <c r="U158" s="54">
        <f>VLOOKUP(treatments[[#This Row],[appointment_id]],Treatments!$A:$F,5,FALSE)</f>
        <v>4331.41</v>
      </c>
      <c r="V158" s="52">
        <f>VLOOKUP(appointments7[[#This Row],[Appointment_ID]],Treatments!$A:$F,6,FALSE)</f>
        <v>45058</v>
      </c>
      <c r="W158" s="52" t="str">
        <f>VLOOKUP(appointments7[[#This Row],[Patient_ID]],Billing!$A:$G,2,FALSE)</f>
        <v>B035</v>
      </c>
      <c r="X158" s="52">
        <f>VLOOKUP(appointments7[[#This Row],[Patient_ID]],Billing!$A:$H,4,FALSE)</f>
        <v>45034</v>
      </c>
      <c r="Y158" s="54">
        <f>VLOOKUP(appointments7[[#This Row],[Patient_ID]],Billing!$A:$G,5,FALSE)</f>
        <v>1654.53</v>
      </c>
      <c r="Z158" s="54" t="str">
        <f>VLOOKUP(appointments7[[#This Row],[Patient_ID]],Billing!$A:$G,6,FALSE)</f>
        <v>Insurance</v>
      </c>
      <c r="AA158" s="52" t="str">
        <f>VLOOKUP(appointments7[[#This Row],[Patient_ID]],Billing!$A:$G,7,FALSE)</f>
        <v>Failed</v>
      </c>
      <c r="AB158" s="2"/>
      <c r="AC158" s="2"/>
    </row>
    <row r="159" spans="1:29" x14ac:dyDescent="0.4">
      <c r="A159" s="51" t="s">
        <v>229</v>
      </c>
      <c r="B159" s="51" t="s">
        <v>90</v>
      </c>
      <c r="C159" s="51" t="s">
        <v>891</v>
      </c>
      <c r="D159" s="51" t="str">
        <f>VLOOKUP(appointments7[[#This Row],[Patient_ID]],Patients!$A:$K,4,FALSE)</f>
        <v>M</v>
      </c>
      <c r="E159" s="52">
        <f>VLOOKUP(appointments7[[#This Row],[Patient_ID]],Patients!$A:$K,5,FALSE)</f>
        <v>34387</v>
      </c>
      <c r="F159" s="51">
        <f>VLOOKUP(appointments7[[#This Row],[Patient_ID]],Patients!$A:$K,6,FALSE)</f>
        <v>6141951830</v>
      </c>
      <c r="G159" s="51" t="str">
        <f>VLOOKUP(appointments7[[#This Row],[Patient_ID]],Patients!$A:$K,7,FALSE)</f>
        <v>789 Pine Rd</v>
      </c>
      <c r="H159" s="52">
        <f>VLOOKUP(appointments7[[#This Row],[Patient_ID]],Patients!$A:$K,8,FALSE)</f>
        <v>44557</v>
      </c>
      <c r="I159" s="51" t="str">
        <f>VLOOKUP(appointments7[[#This Row],[Patient_ID]],Patients!$A:$K,11,FALSE)</f>
        <v>linda.johnson@mail.com</v>
      </c>
      <c r="J159" s="51" t="s">
        <v>35</v>
      </c>
      <c r="K159" s="51" t="s">
        <v>912</v>
      </c>
      <c r="L159" s="51" t="str">
        <f>VLOOKUP(appointments7[[#This Row],[Doctor_ID]],Doctors!$A:$H,4,FALSE)</f>
        <v>Oncology</v>
      </c>
      <c r="M159" s="51">
        <f>VLOOKUP(appointments7[[#This Row],[Doctor_ID]],Doctors!$A:$H,5,FALSE)</f>
        <v>6176383634</v>
      </c>
      <c r="N159" s="51" t="str">
        <f>VLOOKUP(appointments7[[#This Row],[Doctor_ID]],Doctors!$A:$H,7,FALSE)</f>
        <v>Eastside Clinic</v>
      </c>
      <c r="O159" s="52">
        <v>45119</v>
      </c>
      <c r="P159" s="53">
        <v>0.51041666666666674</v>
      </c>
      <c r="Q159" s="51" t="s">
        <v>29</v>
      </c>
      <c r="R159" s="51" t="s">
        <v>41</v>
      </c>
      <c r="S159" s="51" t="str">
        <f>VLOOKUP(appointments7[[#This Row],[Appointment_ID]],Treatments!$A:$F,2,FALSE)</f>
        <v>T158</v>
      </c>
      <c r="T159" s="51" t="str">
        <f>VLOOKUP(appointments7[[#This Row],[Appointment_ID]],Treatments!$A:$F,3,FALSE)</f>
        <v>Chemotherapy</v>
      </c>
      <c r="U159" s="54">
        <f>VLOOKUP(treatments[[#This Row],[appointment_id]],Treatments!$A:$F,5,FALSE)</f>
        <v>1438.3</v>
      </c>
      <c r="V159" s="52">
        <f>VLOOKUP(appointments7[[#This Row],[Appointment_ID]],Treatments!$A:$F,6,FALSE)</f>
        <v>45119</v>
      </c>
      <c r="W159" s="52" t="str">
        <f>VLOOKUP(appointments7[[#This Row],[Patient_ID]],Billing!$A:$G,2,FALSE)</f>
        <v>B039</v>
      </c>
      <c r="X159" s="52">
        <f>VLOOKUP(appointments7[[#This Row],[Patient_ID]],Billing!$A:$H,4,FALSE)</f>
        <v>45033</v>
      </c>
      <c r="Y159" s="54">
        <f>VLOOKUP(appointments7[[#This Row],[Patient_ID]],Billing!$A:$G,5,FALSE)</f>
        <v>2976.02</v>
      </c>
      <c r="Z159" s="54" t="str">
        <f>VLOOKUP(appointments7[[#This Row],[Patient_ID]],Billing!$A:$G,6,FALSE)</f>
        <v>Insurance</v>
      </c>
      <c r="AA159" s="52" t="str">
        <f>VLOOKUP(appointments7[[#This Row],[Patient_ID]],Billing!$A:$G,7,FALSE)</f>
        <v>Failed</v>
      </c>
      <c r="AB159" s="2"/>
      <c r="AC159" s="2"/>
    </row>
    <row r="160" spans="1:29" x14ac:dyDescent="0.4">
      <c r="A160" s="51" t="s">
        <v>230</v>
      </c>
      <c r="B160" s="51" t="s">
        <v>34</v>
      </c>
      <c r="C160" s="51" t="s">
        <v>877</v>
      </c>
      <c r="D160" s="51" t="str">
        <f>VLOOKUP(appointments7[[#This Row],[Patient_ID]],Patients!$A:$K,4,FALSE)</f>
        <v>M</v>
      </c>
      <c r="E160" s="52">
        <f>VLOOKUP(appointments7[[#This Row],[Patient_ID]],Patients!$A:$K,5,FALSE)</f>
        <v>36729</v>
      </c>
      <c r="F160" s="51">
        <f>VLOOKUP(appointments7[[#This Row],[Patient_ID]],Patients!$A:$K,6,FALSE)</f>
        <v>7223380592</v>
      </c>
      <c r="G160" s="51" t="str">
        <f>VLOOKUP(appointments7[[#This Row],[Patient_ID]],Patients!$A:$K,7,FALSE)</f>
        <v>789 Pine Rd</v>
      </c>
      <c r="H160" s="52">
        <f>VLOOKUP(appointments7[[#This Row],[Patient_ID]],Patients!$A:$K,8,FALSE)</f>
        <v>44400</v>
      </c>
      <c r="I160" s="51" t="str">
        <f>VLOOKUP(appointments7[[#This Row],[Patient_ID]],Patients!$A:$K,11,FALSE)</f>
        <v>michael.taylor@mail.com</v>
      </c>
      <c r="J160" s="51" t="s">
        <v>25</v>
      </c>
      <c r="K160" s="51" t="s">
        <v>906</v>
      </c>
      <c r="L160" s="51" t="str">
        <f>VLOOKUP(appointments7[[#This Row],[Doctor_ID]],Doctors!$A:$H,4,FALSE)</f>
        <v>Pediatrics</v>
      </c>
      <c r="M160" s="51">
        <f>VLOOKUP(appointments7[[#This Row],[Doctor_ID]],Doctors!$A:$H,5,FALSE)</f>
        <v>8737740598</v>
      </c>
      <c r="N160" s="51" t="str">
        <f>VLOOKUP(appointments7[[#This Row],[Doctor_ID]],Doctors!$A:$H,7,FALSE)</f>
        <v>Eastside Clinic</v>
      </c>
      <c r="O160" s="52">
        <v>45024</v>
      </c>
      <c r="P160" s="53">
        <v>0.67708333333333326</v>
      </c>
      <c r="Q160" s="51" t="s">
        <v>26</v>
      </c>
      <c r="R160" s="51" t="s">
        <v>15</v>
      </c>
      <c r="S160" s="51" t="str">
        <f>VLOOKUP(appointments7[[#This Row],[Appointment_ID]],Treatments!$A:$F,2,FALSE)</f>
        <v>T159</v>
      </c>
      <c r="T160" s="51" t="str">
        <f>VLOOKUP(appointments7[[#This Row],[Appointment_ID]],Treatments!$A:$F,3,FALSE)</f>
        <v>Chemotherapy</v>
      </c>
      <c r="U160" s="54">
        <f>VLOOKUP(treatments[[#This Row],[appointment_id]],Treatments!$A:$F,5,FALSE)</f>
        <v>4687.68</v>
      </c>
      <c r="V160" s="52">
        <f>VLOOKUP(appointments7[[#This Row],[Appointment_ID]],Treatments!$A:$F,6,FALSE)</f>
        <v>45024</v>
      </c>
      <c r="W160" s="52" t="str">
        <f>VLOOKUP(appointments7[[#This Row],[Patient_ID]],Billing!$A:$G,2,FALSE)</f>
        <v>B008</v>
      </c>
      <c r="X160" s="52">
        <f>VLOOKUP(appointments7[[#This Row],[Patient_ID]],Billing!$A:$H,4,FALSE)</f>
        <v>45070</v>
      </c>
      <c r="Y160" s="54">
        <f>VLOOKUP(appointments7[[#This Row],[Patient_ID]],Billing!$A:$G,5,FALSE)</f>
        <v>3413.64</v>
      </c>
      <c r="Z160" s="54" t="str">
        <f>VLOOKUP(appointments7[[#This Row],[Patient_ID]],Billing!$A:$G,6,FALSE)</f>
        <v>Cash</v>
      </c>
      <c r="AA160" s="52" t="str">
        <f>VLOOKUP(appointments7[[#This Row],[Patient_ID]],Billing!$A:$G,7,FALSE)</f>
        <v>Failed</v>
      </c>
      <c r="AB160" s="2"/>
      <c r="AC160" s="2"/>
    </row>
    <row r="161" spans="1:29" x14ac:dyDescent="0.4">
      <c r="A161" s="51" t="s">
        <v>231</v>
      </c>
      <c r="B161" s="51" t="s">
        <v>37</v>
      </c>
      <c r="C161" s="51" t="s">
        <v>878</v>
      </c>
      <c r="D161" s="51" t="str">
        <f>VLOOKUP(appointments7[[#This Row],[Patient_ID]],Patients!$A:$K,4,FALSE)</f>
        <v>F</v>
      </c>
      <c r="E161" s="52">
        <f>VLOOKUP(appointments7[[#This Row],[Patient_ID]],Patients!$A:$K,5,FALSE)</f>
        <v>18609</v>
      </c>
      <c r="F161" s="51">
        <f>VLOOKUP(appointments7[[#This Row],[Patient_ID]],Patients!$A:$K,6,FALSE)</f>
        <v>9271131338</v>
      </c>
      <c r="G161" s="51" t="str">
        <f>VLOOKUP(appointments7[[#This Row],[Patient_ID]],Patients!$A:$K,7,FALSE)</f>
        <v>789 Pine Rd</v>
      </c>
      <c r="H161" s="52">
        <f>VLOOKUP(appointments7[[#This Row],[Patient_ID]],Patients!$A:$K,8,FALSE)</f>
        <v>44264</v>
      </c>
      <c r="I161" s="51" t="str">
        <f>VLOOKUP(appointments7[[#This Row],[Patient_ID]],Patients!$A:$K,11,FALSE)</f>
        <v>jane.wilson@mail.com</v>
      </c>
      <c r="J161" s="51" t="s">
        <v>59</v>
      </c>
      <c r="K161" s="51" t="s">
        <v>914</v>
      </c>
      <c r="L161" s="51" t="str">
        <f>VLOOKUP(appointments7[[#This Row],[Doctor_ID]],Doctors!$A:$H,4,FALSE)</f>
        <v>Dermatology</v>
      </c>
      <c r="M161" s="51">
        <f>VLOOKUP(appointments7[[#This Row],[Doctor_ID]],Doctors!$A:$H,5,FALSE)</f>
        <v>8322010158</v>
      </c>
      <c r="N161" s="51" t="str">
        <f>VLOOKUP(appointments7[[#This Row],[Doctor_ID]],Doctors!$A:$H,7,FALSE)</f>
        <v>Westside Clinic</v>
      </c>
      <c r="O161" s="52">
        <v>45277</v>
      </c>
      <c r="P161" s="53">
        <v>0.53125</v>
      </c>
      <c r="Q161" s="51" t="s">
        <v>26</v>
      </c>
      <c r="R161" s="51" t="s">
        <v>19</v>
      </c>
      <c r="S161" s="51" t="str">
        <f>VLOOKUP(appointments7[[#This Row],[Appointment_ID]],Treatments!$A:$F,2,FALSE)</f>
        <v>T160</v>
      </c>
      <c r="T161" s="51" t="str">
        <f>VLOOKUP(appointments7[[#This Row],[Appointment_ID]],Treatments!$A:$F,3,FALSE)</f>
        <v>Chemotherapy</v>
      </c>
      <c r="U161" s="54">
        <f>VLOOKUP(treatments[[#This Row],[appointment_id]],Treatments!$A:$F,5,FALSE)</f>
        <v>1023.65</v>
      </c>
      <c r="V161" s="52">
        <f>VLOOKUP(appointments7[[#This Row],[Appointment_ID]],Treatments!$A:$F,6,FALSE)</f>
        <v>45277</v>
      </c>
      <c r="W161" s="52" t="str">
        <f>VLOOKUP(appointments7[[#This Row],[Patient_ID]],Billing!$A:$G,2,FALSE)</f>
        <v>B009</v>
      </c>
      <c r="X161" s="52">
        <f>VLOOKUP(appointments7[[#This Row],[Patient_ID]],Billing!$A:$H,4,FALSE)</f>
        <v>44990</v>
      </c>
      <c r="Y161" s="54">
        <f>VLOOKUP(appointments7[[#This Row],[Patient_ID]],Billing!$A:$G,5,FALSE)</f>
        <v>4541.1400000000003</v>
      </c>
      <c r="Z161" s="54" t="str">
        <f>VLOOKUP(appointments7[[#This Row],[Patient_ID]],Billing!$A:$G,6,FALSE)</f>
        <v>Credit Card</v>
      </c>
      <c r="AA161" s="52" t="str">
        <f>VLOOKUP(appointments7[[#This Row],[Patient_ID]],Billing!$A:$G,7,FALSE)</f>
        <v>Paid</v>
      </c>
      <c r="AB161" s="2"/>
      <c r="AC161" s="2"/>
    </row>
    <row r="162" spans="1:29" x14ac:dyDescent="0.4">
      <c r="A162" s="51" t="s">
        <v>232</v>
      </c>
      <c r="B162" s="51" t="s">
        <v>28</v>
      </c>
      <c r="C162" s="51" t="s">
        <v>875</v>
      </c>
      <c r="D162" s="51" t="str">
        <f>VLOOKUP(appointments7[[#This Row],[Patient_ID]],Patients!$A:$K,4,FALSE)</f>
        <v>F</v>
      </c>
      <c r="E162" s="52">
        <f>VLOOKUP(appointments7[[#This Row],[Patient_ID]],Patients!$A:$K,5,FALSE)</f>
        <v>24222</v>
      </c>
      <c r="F162" s="51">
        <f>VLOOKUP(appointments7[[#This Row],[Patient_ID]],Patients!$A:$K,6,FALSE)</f>
        <v>7579616535</v>
      </c>
      <c r="G162" s="51" t="str">
        <f>VLOOKUP(appointments7[[#This Row],[Patient_ID]],Patients!$A:$K,7,FALSE)</f>
        <v>321 Maple Dr</v>
      </c>
      <c r="H162" s="52">
        <f>VLOOKUP(appointments7[[#This Row],[Patient_ID]],Patients!$A:$K,8,FALSE)</f>
        <v>44219</v>
      </c>
      <c r="I162" s="51" t="str">
        <f>VLOOKUP(appointments7[[#This Row],[Patient_ID]],Patients!$A:$K,11,FALSE)</f>
        <v>linda.miller@mail.com</v>
      </c>
      <c r="J162" s="51" t="s">
        <v>74</v>
      </c>
      <c r="K162" s="51" t="s">
        <v>915</v>
      </c>
      <c r="L162" s="51" t="str">
        <f>VLOOKUP(appointments7[[#This Row],[Doctor_ID]],Doctors!$A:$H,4,FALSE)</f>
        <v>Dermatology</v>
      </c>
      <c r="M162" s="51">
        <f>VLOOKUP(appointments7[[#This Row],[Doctor_ID]],Doctors!$A:$H,5,FALSE)</f>
        <v>9118538547</v>
      </c>
      <c r="N162" s="51" t="str">
        <f>VLOOKUP(appointments7[[#This Row],[Doctor_ID]],Doctors!$A:$H,7,FALSE)</f>
        <v>Central Hospital</v>
      </c>
      <c r="O162" s="52">
        <v>45094</v>
      </c>
      <c r="P162" s="53">
        <v>0.44791666666666674</v>
      </c>
      <c r="Q162" s="51" t="s">
        <v>18</v>
      </c>
      <c r="R162" s="51" t="s">
        <v>11</v>
      </c>
      <c r="S162" s="51" t="str">
        <f>VLOOKUP(appointments7[[#This Row],[Appointment_ID]],Treatments!$A:$F,2,FALSE)</f>
        <v>T161</v>
      </c>
      <c r="T162" s="51" t="str">
        <f>VLOOKUP(appointments7[[#This Row],[Appointment_ID]],Treatments!$A:$F,3,FALSE)</f>
        <v>Chemotherapy</v>
      </c>
      <c r="U162" s="54">
        <f>VLOOKUP(treatments[[#This Row],[appointment_id]],Treatments!$A:$F,5,FALSE)</f>
        <v>4178.5200000000004</v>
      </c>
      <c r="V162" s="52">
        <f>VLOOKUP(appointments7[[#This Row],[Appointment_ID]],Treatments!$A:$F,6,FALSE)</f>
        <v>45094</v>
      </c>
      <c r="W162" s="52" t="str">
        <f>VLOOKUP(appointments7[[#This Row],[Patient_ID]],Billing!$A:$G,2,FALSE)</f>
        <v>B006</v>
      </c>
      <c r="X162" s="52">
        <f>VLOOKUP(appointments7[[#This Row],[Patient_ID]],Billing!$A:$H,4,FALSE)</f>
        <v>45096</v>
      </c>
      <c r="Y162" s="54">
        <f>VLOOKUP(appointments7[[#This Row],[Patient_ID]],Billing!$A:$G,5,FALSE)</f>
        <v>1381</v>
      </c>
      <c r="Z162" s="54" t="str">
        <f>VLOOKUP(appointments7[[#This Row],[Patient_ID]],Billing!$A:$G,6,FALSE)</f>
        <v>Insurance</v>
      </c>
      <c r="AA162" s="52" t="str">
        <f>VLOOKUP(appointments7[[#This Row],[Patient_ID]],Billing!$A:$G,7,FALSE)</f>
        <v>Pending</v>
      </c>
      <c r="AB162" s="2"/>
      <c r="AC162" s="2"/>
    </row>
    <row r="163" spans="1:29" x14ac:dyDescent="0.4">
      <c r="A163" s="51" t="s">
        <v>233</v>
      </c>
      <c r="B163" s="51" t="s">
        <v>234</v>
      </c>
      <c r="C163" s="51" t="s">
        <v>906</v>
      </c>
      <c r="D163" s="51" t="str">
        <f>VLOOKUP(appointments7[[#This Row],[Patient_ID]],Patients!$A:$K,4,FALSE)</f>
        <v>F</v>
      </c>
      <c r="E163" s="52">
        <f>VLOOKUP(appointments7[[#This Row],[Patient_ID]],Patients!$A:$K,5,FALSE)</f>
        <v>19958</v>
      </c>
      <c r="F163" s="51">
        <f>VLOOKUP(appointments7[[#This Row],[Patient_ID]],Patients!$A:$K,6,FALSE)</f>
        <v>7040069008</v>
      </c>
      <c r="G163" s="51" t="str">
        <f>VLOOKUP(appointments7[[#This Row],[Patient_ID]],Patients!$A:$K,7,FALSE)</f>
        <v>789 Pine Rd</v>
      </c>
      <c r="H163" s="52">
        <f>VLOOKUP(appointments7[[#This Row],[Patient_ID]],Patients!$A:$K,8,FALSE)</f>
        <v>44635</v>
      </c>
      <c r="I163" s="51" t="str">
        <f>VLOOKUP(appointments7[[#This Row],[Patient_ID]],Patients!$A:$K,11,FALSE)</f>
        <v>jane.smith@mail.com</v>
      </c>
      <c r="J163" s="51" t="s">
        <v>14</v>
      </c>
      <c r="K163" s="51" t="s">
        <v>909</v>
      </c>
      <c r="L163" s="51" t="str">
        <f>VLOOKUP(appointments7[[#This Row],[Doctor_ID]],Doctors!$A:$H,4,FALSE)</f>
        <v>Pediatrics</v>
      </c>
      <c r="M163" s="51">
        <f>VLOOKUP(appointments7[[#This Row],[Doctor_ID]],Doctors!$A:$H,5,FALSE)</f>
        <v>6594221991</v>
      </c>
      <c r="N163" s="51" t="str">
        <f>VLOOKUP(appointments7[[#This Row],[Doctor_ID]],Doctors!$A:$H,7,FALSE)</f>
        <v>Central Hospital</v>
      </c>
      <c r="O163" s="52">
        <v>44927</v>
      </c>
      <c r="P163" s="53">
        <v>0.71875</v>
      </c>
      <c r="Q163" s="51" t="s">
        <v>26</v>
      </c>
      <c r="R163" s="51" t="s">
        <v>15</v>
      </c>
      <c r="S163" s="51" t="str">
        <f>VLOOKUP(appointments7[[#This Row],[Appointment_ID]],Treatments!$A:$F,2,FALSE)</f>
        <v>T162</v>
      </c>
      <c r="T163" s="51" t="str">
        <f>VLOOKUP(appointments7[[#This Row],[Appointment_ID]],Treatments!$A:$F,3,FALSE)</f>
        <v>Chemotherapy</v>
      </c>
      <c r="U163" s="54">
        <f>VLOOKUP(treatments[[#This Row],[appointment_id]],Treatments!$A:$F,5,FALSE)</f>
        <v>2212.8000000000002</v>
      </c>
      <c r="V163" s="52">
        <f>VLOOKUP(appointments7[[#This Row],[Appointment_ID]],Treatments!$A:$F,6,FALSE)</f>
        <v>44927</v>
      </c>
      <c r="W163" s="52" t="str">
        <f>VLOOKUP(appointments7[[#This Row],[Patient_ID]],Billing!$A:$G,2,FALSE)</f>
        <v>B162</v>
      </c>
      <c r="X163" s="52">
        <f>VLOOKUP(appointments7[[#This Row],[Patient_ID]],Billing!$A:$H,4,FALSE)</f>
        <v>44927</v>
      </c>
      <c r="Y163" s="54">
        <f>VLOOKUP(appointments7[[#This Row],[Patient_ID]],Billing!$A:$G,5,FALSE)</f>
        <v>2212.8000000000002</v>
      </c>
      <c r="Z163" s="54" t="str">
        <f>VLOOKUP(appointments7[[#This Row],[Patient_ID]],Billing!$A:$G,6,FALSE)</f>
        <v>Cash</v>
      </c>
      <c r="AA163" s="52" t="str">
        <f>VLOOKUP(appointments7[[#This Row],[Patient_ID]],Billing!$A:$G,7,FALSE)</f>
        <v>Paid</v>
      </c>
      <c r="AB163" s="2"/>
      <c r="AC163" s="2"/>
    </row>
    <row r="164" spans="1:29" x14ac:dyDescent="0.4">
      <c r="A164" s="51" t="s">
        <v>235</v>
      </c>
      <c r="B164" s="51" t="s">
        <v>37</v>
      </c>
      <c r="C164" s="51" t="s">
        <v>878</v>
      </c>
      <c r="D164" s="51" t="str">
        <f>VLOOKUP(appointments7[[#This Row],[Patient_ID]],Patients!$A:$K,4,FALSE)</f>
        <v>F</v>
      </c>
      <c r="E164" s="52">
        <f>VLOOKUP(appointments7[[#This Row],[Patient_ID]],Patients!$A:$K,5,FALSE)</f>
        <v>18609</v>
      </c>
      <c r="F164" s="51">
        <f>VLOOKUP(appointments7[[#This Row],[Patient_ID]],Patients!$A:$K,6,FALSE)</f>
        <v>9271131338</v>
      </c>
      <c r="G164" s="51" t="str">
        <f>VLOOKUP(appointments7[[#This Row],[Patient_ID]],Patients!$A:$K,7,FALSE)</f>
        <v>789 Pine Rd</v>
      </c>
      <c r="H164" s="52">
        <f>VLOOKUP(appointments7[[#This Row],[Patient_ID]],Patients!$A:$K,8,FALSE)</f>
        <v>44264</v>
      </c>
      <c r="I164" s="51" t="str">
        <f>VLOOKUP(appointments7[[#This Row],[Patient_ID]],Patients!$A:$K,11,FALSE)</f>
        <v>jane.wilson@mail.com</v>
      </c>
      <c r="J164" s="51" t="s">
        <v>35</v>
      </c>
      <c r="K164" s="51" t="s">
        <v>912</v>
      </c>
      <c r="L164" s="51" t="str">
        <f>VLOOKUP(appointments7[[#This Row],[Doctor_ID]],Doctors!$A:$H,4,FALSE)</f>
        <v>Oncology</v>
      </c>
      <c r="M164" s="51">
        <f>VLOOKUP(appointments7[[#This Row],[Doctor_ID]],Doctors!$A:$H,5,FALSE)</f>
        <v>6176383634</v>
      </c>
      <c r="N164" s="51" t="str">
        <f>VLOOKUP(appointments7[[#This Row],[Doctor_ID]],Doctors!$A:$H,7,FALSE)</f>
        <v>Eastside Clinic</v>
      </c>
      <c r="O164" s="52">
        <v>45104</v>
      </c>
      <c r="P164" s="53">
        <v>0.625</v>
      </c>
      <c r="Q164" s="51" t="s">
        <v>10</v>
      </c>
      <c r="R164" s="51" t="s">
        <v>15</v>
      </c>
      <c r="S164" s="51" t="str">
        <f>VLOOKUP(appointments7[[#This Row],[Appointment_ID]],Treatments!$A:$F,2,FALSE)</f>
        <v>T163</v>
      </c>
      <c r="T164" s="51" t="str">
        <f>VLOOKUP(appointments7[[#This Row],[Appointment_ID]],Treatments!$A:$F,3,FALSE)</f>
        <v>X-Ray</v>
      </c>
      <c r="U164" s="54">
        <f>VLOOKUP(treatments[[#This Row],[appointment_id]],Treatments!$A:$F,5,FALSE)</f>
        <v>4450.88</v>
      </c>
      <c r="V164" s="52">
        <f>VLOOKUP(appointments7[[#This Row],[Appointment_ID]],Treatments!$A:$F,6,FALSE)</f>
        <v>45104</v>
      </c>
      <c r="W164" s="52" t="str">
        <f>VLOOKUP(appointments7[[#This Row],[Patient_ID]],Billing!$A:$G,2,FALSE)</f>
        <v>B009</v>
      </c>
      <c r="X164" s="52">
        <f>VLOOKUP(appointments7[[#This Row],[Patient_ID]],Billing!$A:$H,4,FALSE)</f>
        <v>44990</v>
      </c>
      <c r="Y164" s="54">
        <f>VLOOKUP(appointments7[[#This Row],[Patient_ID]],Billing!$A:$G,5,FALSE)</f>
        <v>4541.1400000000003</v>
      </c>
      <c r="Z164" s="54" t="str">
        <f>VLOOKUP(appointments7[[#This Row],[Patient_ID]],Billing!$A:$G,6,FALSE)</f>
        <v>Credit Card</v>
      </c>
      <c r="AA164" s="52" t="str">
        <f>VLOOKUP(appointments7[[#This Row],[Patient_ID]],Billing!$A:$G,7,FALSE)</f>
        <v>Paid</v>
      </c>
      <c r="AB164" s="2"/>
      <c r="AC164" s="2"/>
    </row>
    <row r="165" spans="1:29" x14ac:dyDescent="0.4">
      <c r="A165" s="51" t="s">
        <v>236</v>
      </c>
      <c r="B165" s="51" t="s">
        <v>61</v>
      </c>
      <c r="C165" s="51" t="s">
        <v>886</v>
      </c>
      <c r="D165" s="51" t="str">
        <f>VLOOKUP(appointments7[[#This Row],[Patient_ID]],Patients!$A:$K,4,FALSE)</f>
        <v>M</v>
      </c>
      <c r="E165" s="52">
        <f>VLOOKUP(appointments7[[#This Row],[Patient_ID]],Patients!$A:$K,5,FALSE)</f>
        <v>24895</v>
      </c>
      <c r="F165" s="51">
        <f>VLOOKUP(appointments7[[#This Row],[Patient_ID]],Patients!$A:$K,6,FALSE)</f>
        <v>7292262512</v>
      </c>
      <c r="G165" s="51" t="str">
        <f>VLOOKUP(appointments7[[#This Row],[Patient_ID]],Patients!$A:$K,7,FALSE)</f>
        <v>789 Pine Rd</v>
      </c>
      <c r="H165" s="52">
        <f>VLOOKUP(appointments7[[#This Row],[Patient_ID]],Patients!$A:$K,8,FALSE)</f>
        <v>45272</v>
      </c>
      <c r="I165" s="51" t="str">
        <f>VLOOKUP(appointments7[[#This Row],[Patient_ID]],Patients!$A:$K,11,FALSE)</f>
        <v>alex.taylor@mail.com</v>
      </c>
      <c r="J165" s="51" t="s">
        <v>54</v>
      </c>
      <c r="K165" s="51" t="s">
        <v>899</v>
      </c>
      <c r="L165" s="51" t="str">
        <f>VLOOKUP(appointments7[[#This Row],[Doctor_ID]],Doctors!$A:$H,4,FALSE)</f>
        <v>Dermatology</v>
      </c>
      <c r="M165" s="51">
        <f>VLOOKUP(appointments7[[#This Row],[Doctor_ID]],Doctors!$A:$H,5,FALSE)</f>
        <v>9069162601</v>
      </c>
      <c r="N165" s="51" t="str">
        <f>VLOOKUP(appointments7[[#This Row],[Doctor_ID]],Doctors!$A:$H,7,FALSE)</f>
        <v>Westside Clinic</v>
      </c>
      <c r="O165" s="52">
        <v>45135</v>
      </c>
      <c r="P165" s="53">
        <v>0.71875</v>
      </c>
      <c r="Q165" s="51" t="s">
        <v>10</v>
      </c>
      <c r="R165" s="51" t="s">
        <v>19</v>
      </c>
      <c r="S165" s="51" t="str">
        <f>VLOOKUP(appointments7[[#This Row],[Appointment_ID]],Treatments!$A:$F,2,FALSE)</f>
        <v>T164</v>
      </c>
      <c r="T165" s="51" t="str">
        <f>VLOOKUP(appointments7[[#This Row],[Appointment_ID]],Treatments!$A:$F,3,FALSE)</f>
        <v>ECG</v>
      </c>
      <c r="U165" s="54">
        <f>VLOOKUP(treatments[[#This Row],[appointment_id]],Treatments!$A:$F,5,FALSE)</f>
        <v>4406.26</v>
      </c>
      <c r="V165" s="52">
        <f>VLOOKUP(appointments7[[#This Row],[Appointment_ID]],Treatments!$A:$F,6,FALSE)</f>
        <v>45135</v>
      </c>
      <c r="W165" s="52" t="str">
        <f>VLOOKUP(appointments7[[#This Row],[Patient_ID]],Billing!$A:$G,2,FALSE)</f>
        <v>B020</v>
      </c>
      <c r="X165" s="52">
        <f>VLOOKUP(appointments7[[#This Row],[Patient_ID]],Billing!$A:$H,4,FALSE)</f>
        <v>45265</v>
      </c>
      <c r="Y165" s="54">
        <f>VLOOKUP(appointments7[[#This Row],[Patient_ID]],Billing!$A:$G,5,FALSE)</f>
        <v>4113.62</v>
      </c>
      <c r="Z165" s="54" t="str">
        <f>VLOOKUP(appointments7[[#This Row],[Patient_ID]],Billing!$A:$G,6,FALSE)</f>
        <v>Credit Card</v>
      </c>
      <c r="AA165" s="52" t="str">
        <f>VLOOKUP(appointments7[[#This Row],[Patient_ID]],Billing!$A:$G,7,FALSE)</f>
        <v>Failed</v>
      </c>
      <c r="AB165" s="2"/>
      <c r="AC165" s="2"/>
    </row>
    <row r="166" spans="1:29" x14ac:dyDescent="0.4">
      <c r="A166" s="51" t="s">
        <v>237</v>
      </c>
      <c r="B166" s="51" t="s">
        <v>97</v>
      </c>
      <c r="C166" s="51" t="s">
        <v>892</v>
      </c>
      <c r="D166" s="51" t="str">
        <f>VLOOKUP(appointments7[[#This Row],[Patient_ID]],Patients!$A:$K,4,FALSE)</f>
        <v>M</v>
      </c>
      <c r="E166" s="52">
        <f>VLOOKUP(appointments7[[#This Row],[Patient_ID]],Patients!$A:$K,5,FALSE)</f>
        <v>31791</v>
      </c>
      <c r="F166" s="51">
        <f>VLOOKUP(appointments7[[#This Row],[Patient_ID]],Patients!$A:$K,6,FALSE)</f>
        <v>8280346676</v>
      </c>
      <c r="G166" s="51" t="str">
        <f>VLOOKUP(appointments7[[#This Row],[Patient_ID]],Patients!$A:$K,7,FALSE)</f>
        <v>321 Maple Dr</v>
      </c>
      <c r="H166" s="52">
        <f>VLOOKUP(appointments7[[#This Row],[Patient_ID]],Patients!$A:$K,8,FALSE)</f>
        <v>44740</v>
      </c>
      <c r="I166" s="51" t="str">
        <f>VLOOKUP(appointments7[[#This Row],[Patient_ID]],Patients!$A:$K,11,FALSE)</f>
        <v>robert.miller@mail.com</v>
      </c>
      <c r="J166" s="51" t="s">
        <v>59</v>
      </c>
      <c r="K166" s="51" t="s">
        <v>914</v>
      </c>
      <c r="L166" s="51" t="str">
        <f>VLOOKUP(appointments7[[#This Row],[Doctor_ID]],Doctors!$A:$H,4,FALSE)</f>
        <v>Dermatology</v>
      </c>
      <c r="M166" s="51">
        <f>VLOOKUP(appointments7[[#This Row],[Doctor_ID]],Doctors!$A:$H,5,FALSE)</f>
        <v>8322010158</v>
      </c>
      <c r="N166" s="51" t="str">
        <f>VLOOKUP(appointments7[[#This Row],[Doctor_ID]],Doctors!$A:$H,7,FALSE)</f>
        <v>Westside Clinic</v>
      </c>
      <c r="O166" s="52">
        <v>45020</v>
      </c>
      <c r="P166" s="53">
        <v>0.64583333333333326</v>
      </c>
      <c r="Q166" s="51" t="s">
        <v>18</v>
      </c>
      <c r="R166" s="51" t="s">
        <v>19</v>
      </c>
      <c r="S166" s="51" t="str">
        <f>VLOOKUP(appointments7[[#This Row],[Appointment_ID]],Treatments!$A:$F,2,FALSE)</f>
        <v>T165</v>
      </c>
      <c r="T166" s="51" t="str">
        <f>VLOOKUP(appointments7[[#This Row],[Appointment_ID]],Treatments!$A:$F,3,FALSE)</f>
        <v>MRI</v>
      </c>
      <c r="U166" s="54">
        <f>VLOOKUP(treatments[[#This Row],[appointment_id]],Treatments!$A:$F,5,FALSE)</f>
        <v>4126.66</v>
      </c>
      <c r="V166" s="52">
        <f>VLOOKUP(appointments7[[#This Row],[Appointment_ID]],Treatments!$A:$F,6,FALSE)</f>
        <v>45020</v>
      </c>
      <c r="W166" s="52" t="str">
        <f>VLOOKUP(appointments7[[#This Row],[Patient_ID]],Billing!$A:$G,2,FALSE)</f>
        <v>B044</v>
      </c>
      <c r="X166" s="52">
        <f>VLOOKUP(appointments7[[#This Row],[Patient_ID]],Billing!$A:$H,4,FALSE)</f>
        <v>45189</v>
      </c>
      <c r="Y166" s="54">
        <f>VLOOKUP(appointments7[[#This Row],[Patient_ID]],Billing!$A:$G,5,FALSE)</f>
        <v>4186.3500000000004</v>
      </c>
      <c r="Z166" s="54" t="str">
        <f>VLOOKUP(appointments7[[#This Row],[Patient_ID]],Billing!$A:$G,6,FALSE)</f>
        <v>Insurance</v>
      </c>
      <c r="AA166" s="52" t="str">
        <f>VLOOKUP(appointments7[[#This Row],[Patient_ID]],Billing!$A:$G,7,FALSE)</f>
        <v>Paid</v>
      </c>
      <c r="AB166" s="2"/>
      <c r="AC166" s="2"/>
    </row>
    <row r="167" spans="1:29" x14ac:dyDescent="0.4">
      <c r="A167" s="51" t="s">
        <v>238</v>
      </c>
      <c r="B167" s="51" t="s">
        <v>40</v>
      </c>
      <c r="C167" s="51" t="s">
        <v>879</v>
      </c>
      <c r="D167" s="51" t="str">
        <f>VLOOKUP(appointments7[[#This Row],[Patient_ID]],Patients!$A:$K,4,FALSE)</f>
        <v>M</v>
      </c>
      <c r="E167" s="52">
        <f>VLOOKUP(appointments7[[#This Row],[Patient_ID]],Patients!$A:$K,5,FALSE)</f>
        <v>22090</v>
      </c>
      <c r="F167" s="51">
        <f>VLOOKUP(appointments7[[#This Row],[Patient_ID]],Patients!$A:$K,6,FALSE)</f>
        <v>7734463155</v>
      </c>
      <c r="G167" s="51" t="str">
        <f>VLOOKUP(appointments7[[#This Row],[Patient_ID]],Patients!$A:$K,7,FALSE)</f>
        <v>123 Elm St</v>
      </c>
      <c r="H167" s="52">
        <f>VLOOKUP(appointments7[[#This Row],[Patient_ID]],Patients!$A:$K,8,FALSE)</f>
        <v>44468</v>
      </c>
      <c r="I167" s="51" t="str">
        <f>VLOOKUP(appointments7[[#This Row],[Patient_ID]],Patients!$A:$K,11,FALSE)</f>
        <v>david.wilson@mail.com</v>
      </c>
      <c r="J167" s="51" t="s">
        <v>35</v>
      </c>
      <c r="K167" s="51" t="s">
        <v>912</v>
      </c>
      <c r="L167" s="51" t="str">
        <f>VLOOKUP(appointments7[[#This Row],[Doctor_ID]],Doctors!$A:$H,4,FALSE)</f>
        <v>Oncology</v>
      </c>
      <c r="M167" s="51">
        <f>VLOOKUP(appointments7[[#This Row],[Doctor_ID]],Doctors!$A:$H,5,FALSE)</f>
        <v>6176383634</v>
      </c>
      <c r="N167" s="51" t="str">
        <f>VLOOKUP(appointments7[[#This Row],[Doctor_ID]],Doctors!$A:$H,7,FALSE)</f>
        <v>Eastside Clinic</v>
      </c>
      <c r="O167" s="52">
        <v>44938</v>
      </c>
      <c r="P167" s="53">
        <v>0.61458333333333326</v>
      </c>
      <c r="Q167" s="51" t="s">
        <v>10</v>
      </c>
      <c r="R167" s="51" t="s">
        <v>15</v>
      </c>
      <c r="S167" s="51" t="str">
        <f>VLOOKUP(appointments7[[#This Row],[Appointment_ID]],Treatments!$A:$F,2,FALSE)</f>
        <v>T166</v>
      </c>
      <c r="T167" s="51" t="str">
        <f>VLOOKUP(appointments7[[#This Row],[Appointment_ID]],Treatments!$A:$F,3,FALSE)</f>
        <v>ECG</v>
      </c>
      <c r="U167" s="54">
        <f>VLOOKUP(treatments[[#This Row],[appointment_id]],Treatments!$A:$F,5,FALSE)</f>
        <v>4055.14</v>
      </c>
      <c r="V167" s="52">
        <f>VLOOKUP(appointments7[[#This Row],[Appointment_ID]],Treatments!$A:$F,6,FALSE)</f>
        <v>44938</v>
      </c>
      <c r="W167" s="52" t="str">
        <f>VLOOKUP(appointments7[[#This Row],[Patient_ID]],Billing!$A:$G,2,FALSE)</f>
        <v>B010</v>
      </c>
      <c r="X167" s="52">
        <f>VLOOKUP(appointments7[[#This Row],[Patient_ID]],Billing!$A:$H,4,FALSE)</f>
        <v>44939</v>
      </c>
      <c r="Y167" s="54">
        <f>VLOOKUP(appointments7[[#This Row],[Patient_ID]],Billing!$A:$G,5,FALSE)</f>
        <v>1595.67</v>
      </c>
      <c r="Z167" s="54" t="str">
        <f>VLOOKUP(appointments7[[#This Row],[Patient_ID]],Billing!$A:$G,6,FALSE)</f>
        <v>Cash</v>
      </c>
      <c r="AA167" s="52" t="str">
        <f>VLOOKUP(appointments7[[#This Row],[Patient_ID]],Billing!$A:$G,7,FALSE)</f>
        <v>Paid</v>
      </c>
      <c r="AB167" s="2"/>
      <c r="AC167" s="2"/>
    </row>
    <row r="168" spans="1:29" x14ac:dyDescent="0.4">
      <c r="A168" s="51" t="s">
        <v>239</v>
      </c>
      <c r="B168" s="51" t="s">
        <v>125</v>
      </c>
      <c r="C168" s="51" t="s">
        <v>879</v>
      </c>
      <c r="D168" s="51" t="str">
        <f>VLOOKUP(appointments7[[#This Row],[Patient_ID]],Patients!$A:$K,4,FALSE)</f>
        <v>F</v>
      </c>
      <c r="E168" s="52">
        <f>VLOOKUP(appointments7[[#This Row],[Patient_ID]],Patients!$A:$K,5,FALSE)</f>
        <v>34072</v>
      </c>
      <c r="F168" s="51">
        <f>VLOOKUP(appointments7[[#This Row],[Patient_ID]],Patients!$A:$K,6,FALSE)</f>
        <v>7039619487</v>
      </c>
      <c r="G168" s="51" t="str">
        <f>VLOOKUP(appointments7[[#This Row],[Patient_ID]],Patients!$A:$K,7,FALSE)</f>
        <v>123 Elm St</v>
      </c>
      <c r="H168" s="52">
        <f>VLOOKUP(appointments7[[#This Row],[Patient_ID]],Patients!$A:$K,8,FALSE)</f>
        <v>45116</v>
      </c>
      <c r="I168" s="51" t="str">
        <f>VLOOKUP(appointments7[[#This Row],[Patient_ID]],Patients!$A:$K,11,FALSE)</f>
        <v>david.wilson@mail.com</v>
      </c>
      <c r="J168" s="51" t="s">
        <v>59</v>
      </c>
      <c r="K168" s="51" t="s">
        <v>914</v>
      </c>
      <c r="L168" s="51" t="str">
        <f>VLOOKUP(appointments7[[#This Row],[Doctor_ID]],Doctors!$A:$H,4,FALSE)</f>
        <v>Dermatology</v>
      </c>
      <c r="M168" s="51">
        <f>VLOOKUP(appointments7[[#This Row],[Doctor_ID]],Doctors!$A:$H,5,FALSE)</f>
        <v>8322010158</v>
      </c>
      <c r="N168" s="51" t="str">
        <f>VLOOKUP(appointments7[[#This Row],[Doctor_ID]],Doctors!$A:$H,7,FALSE)</f>
        <v>Westside Clinic</v>
      </c>
      <c r="O168" s="52">
        <v>45245</v>
      </c>
      <c r="P168" s="53">
        <v>0.34375</v>
      </c>
      <c r="Q168" s="51" t="s">
        <v>38</v>
      </c>
      <c r="R168" s="51" t="s">
        <v>11</v>
      </c>
      <c r="S168" s="51" t="str">
        <f>VLOOKUP(appointments7[[#This Row],[Appointment_ID]],Treatments!$A:$F,2,FALSE)</f>
        <v>T167</v>
      </c>
      <c r="T168" s="51" t="str">
        <f>VLOOKUP(appointments7[[#This Row],[Appointment_ID]],Treatments!$A:$F,3,FALSE)</f>
        <v>Chemotherapy</v>
      </c>
      <c r="U168" s="54">
        <f>VLOOKUP(treatments[[#This Row],[appointment_id]],Treatments!$A:$F,5,FALSE)</f>
        <v>1871.06</v>
      </c>
      <c r="V168" s="52">
        <f>VLOOKUP(appointments7[[#This Row],[Appointment_ID]],Treatments!$A:$F,6,FALSE)</f>
        <v>45245</v>
      </c>
      <c r="W168" s="52" t="str">
        <f>VLOOKUP(appointments7[[#This Row],[Patient_ID]],Billing!$A:$G,2,FALSE)</f>
        <v>B064</v>
      </c>
      <c r="X168" s="52">
        <f>VLOOKUP(appointments7[[#This Row],[Patient_ID]],Billing!$A:$H,4,FALSE)</f>
        <v>45077</v>
      </c>
      <c r="Y168" s="54">
        <f>VLOOKUP(appointments7[[#This Row],[Patient_ID]],Billing!$A:$G,5,FALSE)</f>
        <v>3815.93</v>
      </c>
      <c r="Z168" s="54" t="str">
        <f>VLOOKUP(appointments7[[#This Row],[Patient_ID]],Billing!$A:$G,6,FALSE)</f>
        <v>Cash</v>
      </c>
      <c r="AA168" s="52" t="str">
        <f>VLOOKUP(appointments7[[#This Row],[Patient_ID]],Billing!$A:$G,7,FALSE)</f>
        <v>Paid</v>
      </c>
      <c r="AB168" s="2"/>
      <c r="AC168" s="2"/>
    </row>
    <row r="169" spans="1:29" x14ac:dyDescent="0.4">
      <c r="A169" s="51" t="s">
        <v>240</v>
      </c>
      <c r="B169" s="51" t="s">
        <v>90</v>
      </c>
      <c r="C169" s="51" t="s">
        <v>891</v>
      </c>
      <c r="D169" s="51" t="str">
        <f>VLOOKUP(appointments7[[#This Row],[Patient_ID]],Patients!$A:$K,4,FALSE)</f>
        <v>M</v>
      </c>
      <c r="E169" s="52">
        <f>VLOOKUP(appointments7[[#This Row],[Patient_ID]],Patients!$A:$K,5,FALSE)</f>
        <v>34387</v>
      </c>
      <c r="F169" s="51">
        <f>VLOOKUP(appointments7[[#This Row],[Patient_ID]],Patients!$A:$K,6,FALSE)</f>
        <v>6141951830</v>
      </c>
      <c r="G169" s="51" t="str">
        <f>VLOOKUP(appointments7[[#This Row],[Patient_ID]],Patients!$A:$K,7,FALSE)</f>
        <v>789 Pine Rd</v>
      </c>
      <c r="H169" s="52">
        <f>VLOOKUP(appointments7[[#This Row],[Patient_ID]],Patients!$A:$K,8,FALSE)</f>
        <v>44557</v>
      </c>
      <c r="I169" s="51" t="str">
        <f>VLOOKUP(appointments7[[#This Row],[Patient_ID]],Patients!$A:$K,11,FALSE)</f>
        <v>linda.johnson@mail.com</v>
      </c>
      <c r="J169" s="51" t="s">
        <v>14</v>
      </c>
      <c r="K169" s="51" t="s">
        <v>909</v>
      </c>
      <c r="L169" s="51" t="str">
        <f>VLOOKUP(appointments7[[#This Row],[Doctor_ID]],Doctors!$A:$H,4,FALSE)</f>
        <v>Pediatrics</v>
      </c>
      <c r="M169" s="51">
        <f>VLOOKUP(appointments7[[#This Row],[Doctor_ID]],Doctors!$A:$H,5,FALSE)</f>
        <v>6594221991</v>
      </c>
      <c r="N169" s="51" t="str">
        <f>VLOOKUP(appointments7[[#This Row],[Doctor_ID]],Doctors!$A:$H,7,FALSE)</f>
        <v>Central Hospital</v>
      </c>
      <c r="O169" s="52">
        <v>45198</v>
      </c>
      <c r="P169" s="53">
        <v>0.41666666666666674</v>
      </c>
      <c r="Q169" s="51" t="s">
        <v>18</v>
      </c>
      <c r="R169" s="51" t="s">
        <v>15</v>
      </c>
      <c r="S169" s="51" t="str">
        <f>VLOOKUP(appointments7[[#This Row],[Appointment_ID]],Treatments!$A:$F,2,FALSE)</f>
        <v>T168</v>
      </c>
      <c r="T169" s="51" t="str">
        <f>VLOOKUP(appointments7[[#This Row],[Appointment_ID]],Treatments!$A:$F,3,FALSE)</f>
        <v>X-Ray</v>
      </c>
      <c r="U169" s="54">
        <f>VLOOKUP(treatments[[#This Row],[appointment_id]],Treatments!$A:$F,5,FALSE)</f>
        <v>864.14</v>
      </c>
      <c r="V169" s="52">
        <f>VLOOKUP(appointments7[[#This Row],[Appointment_ID]],Treatments!$A:$F,6,FALSE)</f>
        <v>45198</v>
      </c>
      <c r="W169" s="52" t="str">
        <f>VLOOKUP(appointments7[[#This Row],[Patient_ID]],Billing!$A:$G,2,FALSE)</f>
        <v>B039</v>
      </c>
      <c r="X169" s="52">
        <f>VLOOKUP(appointments7[[#This Row],[Patient_ID]],Billing!$A:$H,4,FALSE)</f>
        <v>45033</v>
      </c>
      <c r="Y169" s="54">
        <f>VLOOKUP(appointments7[[#This Row],[Patient_ID]],Billing!$A:$G,5,FALSE)</f>
        <v>2976.02</v>
      </c>
      <c r="Z169" s="54" t="str">
        <f>VLOOKUP(appointments7[[#This Row],[Patient_ID]],Billing!$A:$G,6,FALSE)</f>
        <v>Insurance</v>
      </c>
      <c r="AA169" s="52" t="str">
        <f>VLOOKUP(appointments7[[#This Row],[Patient_ID]],Billing!$A:$G,7,FALSE)</f>
        <v>Failed</v>
      </c>
      <c r="AB169" s="2"/>
      <c r="AC169" s="2"/>
    </row>
    <row r="170" spans="1:29" x14ac:dyDescent="0.4">
      <c r="A170" s="51" t="s">
        <v>241</v>
      </c>
      <c r="B170" s="51" t="s">
        <v>45</v>
      </c>
      <c r="C170" s="51" t="s">
        <v>881</v>
      </c>
      <c r="D170" s="51" t="str">
        <f>VLOOKUP(appointments7[[#This Row],[Patient_ID]],Patients!$A:$K,4,FALSE)</f>
        <v>M</v>
      </c>
      <c r="E170" s="52">
        <f>VLOOKUP(appointments7[[#This Row],[Patient_ID]],Patients!$A:$K,5,FALSE)</f>
        <v>38487</v>
      </c>
      <c r="F170" s="51">
        <f>VLOOKUP(appointments7[[#This Row],[Patient_ID]],Patients!$A:$K,6,FALSE)</f>
        <v>8923607677</v>
      </c>
      <c r="G170" s="51" t="str">
        <f>VLOOKUP(appointments7[[#This Row],[Patient_ID]],Patients!$A:$K,7,FALSE)</f>
        <v>789 Pine Rd</v>
      </c>
      <c r="H170" s="52">
        <f>VLOOKUP(appointments7[[#This Row],[Patient_ID]],Patients!$A:$K,8,FALSE)</f>
        <v>45035</v>
      </c>
      <c r="I170" s="51" t="str">
        <f>VLOOKUP(appointments7[[#This Row],[Patient_ID]],Patients!$A:$K,11,FALSE)</f>
        <v>david.smith@mail.com</v>
      </c>
      <c r="J170" s="51" t="s">
        <v>54</v>
      </c>
      <c r="K170" s="51" t="s">
        <v>899</v>
      </c>
      <c r="L170" s="51" t="str">
        <f>VLOOKUP(appointments7[[#This Row],[Doctor_ID]],Doctors!$A:$H,4,FALSE)</f>
        <v>Dermatology</v>
      </c>
      <c r="M170" s="51">
        <f>VLOOKUP(appointments7[[#This Row],[Doctor_ID]],Doctors!$A:$H,5,FALSE)</f>
        <v>9069162601</v>
      </c>
      <c r="N170" s="51" t="str">
        <f>VLOOKUP(appointments7[[#This Row],[Doctor_ID]],Doctors!$A:$H,7,FALSE)</f>
        <v>Westside Clinic</v>
      </c>
      <c r="O170" s="52">
        <v>45131</v>
      </c>
      <c r="P170" s="53">
        <v>0.69791666666666674</v>
      </c>
      <c r="Q170" s="51" t="s">
        <v>38</v>
      </c>
      <c r="R170" s="51" t="s">
        <v>19</v>
      </c>
      <c r="S170" s="51" t="str">
        <f>VLOOKUP(appointments7[[#This Row],[Appointment_ID]],Treatments!$A:$F,2,FALSE)</f>
        <v>T169</v>
      </c>
      <c r="T170" s="51" t="str">
        <f>VLOOKUP(appointments7[[#This Row],[Appointment_ID]],Treatments!$A:$F,3,FALSE)</f>
        <v>Physiotherapy</v>
      </c>
      <c r="U170" s="54">
        <f>VLOOKUP(treatments[[#This Row],[appointment_id]],Treatments!$A:$F,5,FALSE)</f>
        <v>2313.41</v>
      </c>
      <c r="V170" s="52">
        <f>VLOOKUP(appointments7[[#This Row],[Appointment_ID]],Treatments!$A:$F,6,FALSE)</f>
        <v>45131</v>
      </c>
      <c r="W170" s="52" t="str">
        <f>VLOOKUP(appointments7[[#This Row],[Patient_ID]],Billing!$A:$G,2,FALSE)</f>
        <v>B012</v>
      </c>
      <c r="X170" s="52">
        <f>VLOOKUP(appointments7[[#This Row],[Patient_ID]],Billing!$A:$H,4,FALSE)</f>
        <v>45053</v>
      </c>
      <c r="Y170" s="54">
        <f>VLOOKUP(appointments7[[#This Row],[Patient_ID]],Billing!$A:$G,5,FALSE)</f>
        <v>771.2</v>
      </c>
      <c r="Z170" s="54" t="str">
        <f>VLOOKUP(appointments7[[#This Row],[Patient_ID]],Billing!$A:$G,6,FALSE)</f>
        <v>Insurance</v>
      </c>
      <c r="AA170" s="52" t="str">
        <f>VLOOKUP(appointments7[[#This Row],[Patient_ID]],Billing!$A:$G,7,FALSE)</f>
        <v>Pending</v>
      </c>
      <c r="AB170" s="2"/>
      <c r="AC170" s="2"/>
    </row>
    <row r="171" spans="1:29" x14ac:dyDescent="0.4">
      <c r="A171" s="51" t="s">
        <v>242</v>
      </c>
      <c r="B171" s="51" t="s">
        <v>129</v>
      </c>
      <c r="C171" s="51" t="s">
        <v>899</v>
      </c>
      <c r="D171" s="51" t="str">
        <f>VLOOKUP(appointments7[[#This Row],[Patient_ID]],Patients!$A:$K,4,FALSE)</f>
        <v>M</v>
      </c>
      <c r="E171" s="52">
        <f>VLOOKUP(appointments7[[#This Row],[Patient_ID]],Patients!$A:$K,5,FALSE)</f>
        <v>29305</v>
      </c>
      <c r="F171" s="51">
        <f>VLOOKUP(appointments7[[#This Row],[Patient_ID]],Patients!$A:$K,6,FALSE)</f>
        <v>9127665406</v>
      </c>
      <c r="G171" s="51" t="str">
        <f>VLOOKUP(appointments7[[#This Row],[Patient_ID]],Patients!$A:$K,7,FALSE)</f>
        <v>789 Pine Rd</v>
      </c>
      <c r="H171" s="52">
        <f>VLOOKUP(appointments7[[#This Row],[Patient_ID]],Patients!$A:$K,8,FALSE)</f>
        <v>44760</v>
      </c>
      <c r="I171" s="51" t="str">
        <f>VLOOKUP(appointments7[[#This Row],[Patient_ID]],Patients!$A:$K,11,FALSE)</f>
        <v>linda.brown@mail.com</v>
      </c>
      <c r="J171" s="51" t="s">
        <v>74</v>
      </c>
      <c r="K171" s="51" t="s">
        <v>915</v>
      </c>
      <c r="L171" s="51" t="str">
        <f>VLOOKUP(appointments7[[#This Row],[Doctor_ID]],Doctors!$A:$H,4,FALSE)</f>
        <v>Dermatology</v>
      </c>
      <c r="M171" s="51">
        <f>VLOOKUP(appointments7[[#This Row],[Doctor_ID]],Doctors!$A:$H,5,FALSE)</f>
        <v>9118538547</v>
      </c>
      <c r="N171" s="51" t="str">
        <f>VLOOKUP(appointments7[[#This Row],[Doctor_ID]],Doctors!$A:$H,7,FALSE)</f>
        <v>Central Hospital</v>
      </c>
      <c r="O171" s="52">
        <v>44988</v>
      </c>
      <c r="P171" s="53">
        <v>0.375</v>
      </c>
      <c r="Q171" s="51" t="s">
        <v>29</v>
      </c>
      <c r="R171" s="51" t="s">
        <v>11</v>
      </c>
      <c r="S171" s="51" t="str">
        <f>VLOOKUP(appointments7[[#This Row],[Appointment_ID]],Treatments!$A:$F,2,FALSE)</f>
        <v>T170</v>
      </c>
      <c r="T171" s="51" t="str">
        <f>VLOOKUP(appointments7[[#This Row],[Appointment_ID]],Treatments!$A:$F,3,FALSE)</f>
        <v>X-Ray</v>
      </c>
      <c r="U171" s="54">
        <f>VLOOKUP(treatments[[#This Row],[appointment_id]],Treatments!$A:$F,5,FALSE)</f>
        <v>1280.8599999999999</v>
      </c>
      <c r="V171" s="52">
        <f>VLOOKUP(appointments7[[#This Row],[Appointment_ID]],Treatments!$A:$F,6,FALSE)</f>
        <v>44988</v>
      </c>
      <c r="W171" s="52" t="str">
        <f>VLOOKUP(appointments7[[#This Row],[Patient_ID]],Billing!$A:$G,2,FALSE)</f>
        <v>B067</v>
      </c>
      <c r="X171" s="52">
        <f>VLOOKUP(appointments7[[#This Row],[Patient_ID]],Billing!$A:$H,4,FALSE)</f>
        <v>45148</v>
      </c>
      <c r="Y171" s="54">
        <f>VLOOKUP(appointments7[[#This Row],[Patient_ID]],Billing!$A:$G,5,FALSE)</f>
        <v>930.72</v>
      </c>
      <c r="Z171" s="54" t="str">
        <f>VLOOKUP(appointments7[[#This Row],[Patient_ID]],Billing!$A:$G,6,FALSE)</f>
        <v>Credit Card</v>
      </c>
      <c r="AA171" s="52" t="str">
        <f>VLOOKUP(appointments7[[#This Row],[Patient_ID]],Billing!$A:$G,7,FALSE)</f>
        <v>Pending</v>
      </c>
      <c r="AB171" s="2"/>
      <c r="AC171" s="2"/>
    </row>
    <row r="172" spans="1:29" x14ac:dyDescent="0.4">
      <c r="A172" s="51" t="s">
        <v>243</v>
      </c>
      <c r="B172" s="51" t="s">
        <v>168</v>
      </c>
      <c r="C172" s="51" t="s">
        <v>905</v>
      </c>
      <c r="D172" s="51" t="str">
        <f>VLOOKUP(appointments7[[#This Row],[Patient_ID]],Patients!$A:$K,4,FALSE)</f>
        <v>F</v>
      </c>
      <c r="E172" s="52">
        <f>VLOOKUP(appointments7[[#This Row],[Patient_ID]],Patients!$A:$K,5,FALSE)</f>
        <v>24445</v>
      </c>
      <c r="F172" s="51">
        <f>VLOOKUP(appointments7[[#This Row],[Patient_ID]],Patients!$A:$K,6,FALSE)</f>
        <v>8990604070</v>
      </c>
      <c r="G172" s="51" t="str">
        <f>VLOOKUP(appointments7[[#This Row],[Patient_ID]],Patients!$A:$K,7,FALSE)</f>
        <v>789 Pine Rd</v>
      </c>
      <c r="H172" s="52">
        <f>VLOOKUP(appointments7[[#This Row],[Patient_ID]],Patients!$A:$K,8,FALSE)</f>
        <v>44831</v>
      </c>
      <c r="I172" s="51" t="str">
        <f>VLOOKUP(appointments7[[#This Row],[Patient_ID]],Patients!$A:$K,11,FALSE)</f>
        <v>emily.jones@mail.com</v>
      </c>
      <c r="J172" s="51" t="s">
        <v>48</v>
      </c>
      <c r="K172" s="51" t="s">
        <v>913</v>
      </c>
      <c r="L172" s="51" t="str">
        <f>VLOOKUP(appointments7[[#This Row],[Doctor_ID]],Doctors!$A:$H,4,FALSE)</f>
        <v>Pediatrics</v>
      </c>
      <c r="M172" s="51">
        <f>VLOOKUP(appointments7[[#This Row],[Doctor_ID]],Doctors!$A:$H,5,FALSE)</f>
        <v>9004382050</v>
      </c>
      <c r="N172" s="51" t="str">
        <f>VLOOKUP(appointments7[[#This Row],[Doctor_ID]],Doctors!$A:$H,7,FALSE)</f>
        <v>Eastside Clinic</v>
      </c>
      <c r="O172" s="52">
        <v>45034</v>
      </c>
      <c r="P172" s="53">
        <v>0.6875</v>
      </c>
      <c r="Q172" s="51" t="s">
        <v>38</v>
      </c>
      <c r="R172" s="51" t="s">
        <v>19</v>
      </c>
      <c r="S172" s="51" t="str">
        <f>VLOOKUP(appointments7[[#This Row],[Appointment_ID]],Treatments!$A:$F,2,FALSE)</f>
        <v>T171</v>
      </c>
      <c r="T172" s="51" t="str">
        <f>VLOOKUP(appointments7[[#This Row],[Appointment_ID]],Treatments!$A:$F,3,FALSE)</f>
        <v>Chemotherapy</v>
      </c>
      <c r="U172" s="54">
        <f>VLOOKUP(treatments[[#This Row],[appointment_id]],Treatments!$A:$F,5,FALSE)</f>
        <v>3627.28</v>
      </c>
      <c r="V172" s="52">
        <f>VLOOKUP(appointments7[[#This Row],[Appointment_ID]],Treatments!$A:$F,6,FALSE)</f>
        <v>45034</v>
      </c>
      <c r="W172" s="52" t="str">
        <f>VLOOKUP(appointments7[[#This Row],[Patient_ID]],Billing!$A:$G,2,FALSE)</f>
        <v>B099</v>
      </c>
      <c r="X172" s="52">
        <f>VLOOKUP(appointments7[[#This Row],[Patient_ID]],Billing!$A:$H,4,FALSE)</f>
        <v>45111</v>
      </c>
      <c r="Y172" s="54">
        <f>VLOOKUP(appointments7[[#This Row],[Patient_ID]],Billing!$A:$G,5,FALSE)</f>
        <v>4101.6000000000004</v>
      </c>
      <c r="Z172" s="54" t="str">
        <f>VLOOKUP(appointments7[[#This Row],[Patient_ID]],Billing!$A:$G,6,FALSE)</f>
        <v>Credit Card</v>
      </c>
      <c r="AA172" s="52" t="str">
        <f>VLOOKUP(appointments7[[#This Row],[Patient_ID]],Billing!$A:$G,7,FALSE)</f>
        <v>Pending</v>
      </c>
      <c r="AB172" s="2"/>
      <c r="AC172" s="2"/>
    </row>
    <row r="173" spans="1:29" x14ac:dyDescent="0.4">
      <c r="A173" s="51" t="s">
        <v>244</v>
      </c>
      <c r="B173" s="51" t="s">
        <v>185</v>
      </c>
      <c r="C173" s="51" t="s">
        <v>898</v>
      </c>
      <c r="D173" s="51" t="str">
        <f>VLOOKUP(appointments7[[#This Row],[Patient_ID]],Patients!$A:$K,4,FALSE)</f>
        <v>M</v>
      </c>
      <c r="E173" s="52">
        <f>VLOOKUP(appointments7[[#This Row],[Patient_ID]],Patients!$A:$K,5,FALSE)</f>
        <v>29122</v>
      </c>
      <c r="F173" s="51">
        <f>VLOOKUP(appointments7[[#This Row],[Patient_ID]],Patients!$A:$K,6,FALSE)</f>
        <v>7145815738</v>
      </c>
      <c r="G173" s="51" t="str">
        <f>VLOOKUP(appointments7[[#This Row],[Patient_ID]],Patients!$A:$K,7,FALSE)</f>
        <v>789 Pine Rd</v>
      </c>
      <c r="H173" s="52">
        <f>VLOOKUP(appointments7[[#This Row],[Patient_ID]],Patients!$A:$K,8,FALSE)</f>
        <v>44827</v>
      </c>
      <c r="I173" s="51" t="str">
        <f>VLOOKUP(appointments7[[#This Row],[Patient_ID]],Patients!$A:$K,11,FALSE)</f>
        <v>laura.wilson@mail.com</v>
      </c>
      <c r="J173" s="51" t="s">
        <v>22</v>
      </c>
      <c r="K173" s="51" t="s">
        <v>910</v>
      </c>
      <c r="L173" s="51" t="str">
        <f>VLOOKUP(appointments7[[#This Row],[Doctor_ID]],Doctors!$A:$H,4,FALSE)</f>
        <v>Pediatrics</v>
      </c>
      <c r="M173" s="51">
        <f>VLOOKUP(appointments7[[#This Row],[Doctor_ID]],Doctors!$A:$H,5,FALSE)</f>
        <v>6570137231</v>
      </c>
      <c r="N173" s="51" t="str">
        <f>VLOOKUP(appointments7[[#This Row],[Doctor_ID]],Doctors!$A:$H,7,FALSE)</f>
        <v>Central Hospital</v>
      </c>
      <c r="O173" s="52">
        <v>44994</v>
      </c>
      <c r="P173" s="53">
        <v>0.67708333333333326</v>
      </c>
      <c r="Q173" s="51" t="s">
        <v>29</v>
      </c>
      <c r="R173" s="51" t="s">
        <v>11</v>
      </c>
      <c r="S173" s="51" t="str">
        <f>VLOOKUP(appointments7[[#This Row],[Appointment_ID]],Treatments!$A:$F,2,FALSE)</f>
        <v>T172</v>
      </c>
      <c r="T173" s="51" t="str">
        <f>VLOOKUP(appointments7[[#This Row],[Appointment_ID]],Treatments!$A:$F,3,FALSE)</f>
        <v>X-Ray</v>
      </c>
      <c r="U173" s="54">
        <f>VLOOKUP(treatments[[#This Row],[appointment_id]],Treatments!$A:$F,5,FALSE)</f>
        <v>2057.4499999999998</v>
      </c>
      <c r="V173" s="52">
        <f>VLOOKUP(appointments7[[#This Row],[Appointment_ID]],Treatments!$A:$F,6,FALSE)</f>
        <v>44994</v>
      </c>
      <c r="W173" s="52" t="str">
        <f>VLOOKUP(appointments7[[#This Row],[Patient_ID]],Billing!$A:$G,2,FALSE)</f>
        <v>B114</v>
      </c>
      <c r="X173" s="52">
        <f>VLOOKUP(appointments7[[#This Row],[Patient_ID]],Billing!$A:$H,4,FALSE)</f>
        <v>45146</v>
      </c>
      <c r="Y173" s="54">
        <f>VLOOKUP(appointments7[[#This Row],[Patient_ID]],Billing!$A:$G,5,FALSE)</f>
        <v>3030.34</v>
      </c>
      <c r="Z173" s="54" t="str">
        <f>VLOOKUP(appointments7[[#This Row],[Patient_ID]],Billing!$A:$G,6,FALSE)</f>
        <v>Cash</v>
      </c>
      <c r="AA173" s="52" t="str">
        <f>VLOOKUP(appointments7[[#This Row],[Patient_ID]],Billing!$A:$G,7,FALSE)</f>
        <v>Pending</v>
      </c>
      <c r="AB173" s="2"/>
      <c r="AC173" s="2"/>
    </row>
    <row r="174" spans="1:29" x14ac:dyDescent="0.4">
      <c r="A174" s="51" t="s">
        <v>245</v>
      </c>
      <c r="B174" s="51" t="s">
        <v>66</v>
      </c>
      <c r="C174" s="51" t="s">
        <v>887</v>
      </c>
      <c r="D174" s="51" t="str">
        <f>VLOOKUP(appointments7[[#This Row],[Patient_ID]],Patients!$A:$K,4,FALSE)</f>
        <v>M</v>
      </c>
      <c r="E174" s="52">
        <f>VLOOKUP(appointments7[[#This Row],[Patient_ID]],Patients!$A:$K,5,FALSE)</f>
        <v>35046</v>
      </c>
      <c r="F174" s="51">
        <f>VLOOKUP(appointments7[[#This Row],[Patient_ID]],Patients!$A:$K,6,FALSE)</f>
        <v>8715732851</v>
      </c>
      <c r="G174" s="51" t="str">
        <f>VLOOKUP(appointments7[[#This Row],[Patient_ID]],Patients!$A:$K,7,FALSE)</f>
        <v>321 Maple Dr</v>
      </c>
      <c r="H174" s="52">
        <f>VLOOKUP(appointments7[[#This Row],[Patient_ID]],Patients!$A:$K,8,FALSE)</f>
        <v>44701</v>
      </c>
      <c r="I174" s="51" t="str">
        <f>VLOOKUP(appointments7[[#This Row],[Patient_ID]],Patients!$A:$K,11,FALSE)</f>
        <v>jane.moore@mail.com</v>
      </c>
      <c r="J174" s="51" t="s">
        <v>74</v>
      </c>
      <c r="K174" s="51" t="s">
        <v>915</v>
      </c>
      <c r="L174" s="51" t="str">
        <f>VLOOKUP(appointments7[[#This Row],[Doctor_ID]],Doctors!$A:$H,4,FALSE)</f>
        <v>Dermatology</v>
      </c>
      <c r="M174" s="51">
        <f>VLOOKUP(appointments7[[#This Row],[Doctor_ID]],Doctors!$A:$H,5,FALSE)</f>
        <v>9118538547</v>
      </c>
      <c r="N174" s="51" t="str">
        <f>VLOOKUP(appointments7[[#This Row],[Doctor_ID]],Doctors!$A:$H,7,FALSE)</f>
        <v>Central Hospital</v>
      </c>
      <c r="O174" s="52">
        <v>45081</v>
      </c>
      <c r="P174" s="53">
        <v>0.5625</v>
      </c>
      <c r="Q174" s="51" t="s">
        <v>29</v>
      </c>
      <c r="R174" s="51" t="s">
        <v>41</v>
      </c>
      <c r="S174" s="51" t="str">
        <f>VLOOKUP(appointments7[[#This Row],[Appointment_ID]],Treatments!$A:$F,2,FALSE)</f>
        <v>T173</v>
      </c>
      <c r="T174" s="51" t="str">
        <f>VLOOKUP(appointments7[[#This Row],[Appointment_ID]],Treatments!$A:$F,3,FALSE)</f>
        <v>X-Ray</v>
      </c>
      <c r="U174" s="54">
        <f>VLOOKUP(treatments[[#This Row],[appointment_id]],Treatments!$A:$F,5,FALSE)</f>
        <v>4890.25</v>
      </c>
      <c r="V174" s="52">
        <f>VLOOKUP(appointments7[[#This Row],[Appointment_ID]],Treatments!$A:$F,6,FALSE)</f>
        <v>45081</v>
      </c>
      <c r="W174" s="52" t="str">
        <f>VLOOKUP(appointments7[[#This Row],[Patient_ID]],Billing!$A:$G,2,FALSE)</f>
        <v>B023</v>
      </c>
      <c r="X174" s="52">
        <f>VLOOKUP(appointments7[[#This Row],[Patient_ID]],Billing!$A:$H,4,FALSE)</f>
        <v>45055</v>
      </c>
      <c r="Y174" s="54">
        <f>VLOOKUP(appointments7[[#This Row],[Patient_ID]],Billing!$A:$G,5,FALSE)</f>
        <v>3246.5</v>
      </c>
      <c r="Z174" s="54" t="str">
        <f>VLOOKUP(appointments7[[#This Row],[Patient_ID]],Billing!$A:$G,6,FALSE)</f>
        <v>Credit Card</v>
      </c>
      <c r="AA174" s="52" t="str">
        <f>VLOOKUP(appointments7[[#This Row],[Patient_ID]],Billing!$A:$G,7,FALSE)</f>
        <v>Pending</v>
      </c>
      <c r="AB174" s="2"/>
      <c r="AC174" s="2"/>
    </row>
    <row r="175" spans="1:29" x14ac:dyDescent="0.4">
      <c r="A175" s="51" t="s">
        <v>246</v>
      </c>
      <c r="B175" s="51" t="s">
        <v>50</v>
      </c>
      <c r="C175" s="51" t="s">
        <v>883</v>
      </c>
      <c r="D175" s="51" t="str">
        <f>VLOOKUP(appointments7[[#This Row],[Patient_ID]],Patients!$A:$K,4,FALSE)</f>
        <v>F</v>
      </c>
      <c r="E175" s="52">
        <f>VLOOKUP(appointments7[[#This Row],[Patient_ID]],Patients!$A:$K,5,FALSE)</f>
        <v>33580</v>
      </c>
      <c r="F175" s="51">
        <f>VLOOKUP(appointments7[[#This Row],[Patient_ID]],Patients!$A:$K,6,FALSE)</f>
        <v>8135666049</v>
      </c>
      <c r="G175" s="51" t="str">
        <f>VLOOKUP(appointments7[[#This Row],[Patient_ID]],Patients!$A:$K,7,FALSE)</f>
        <v>321 Maple Dr</v>
      </c>
      <c r="H175" s="52">
        <f>VLOOKUP(appointments7[[#This Row],[Patient_ID]],Patients!$A:$K,8,FALSE)</f>
        <v>45043</v>
      </c>
      <c r="I175" s="51" t="str">
        <f>VLOOKUP(appointments7[[#This Row],[Patient_ID]],Patients!$A:$K,11,FALSE)</f>
        <v>laura.davis@mail.com</v>
      </c>
      <c r="J175" s="51" t="s">
        <v>48</v>
      </c>
      <c r="K175" s="51" t="s">
        <v>913</v>
      </c>
      <c r="L175" s="51" t="str">
        <f>VLOOKUP(appointments7[[#This Row],[Doctor_ID]],Doctors!$A:$H,4,FALSE)</f>
        <v>Pediatrics</v>
      </c>
      <c r="M175" s="51">
        <f>VLOOKUP(appointments7[[#This Row],[Doctor_ID]],Doctors!$A:$H,5,FALSE)</f>
        <v>9004382050</v>
      </c>
      <c r="N175" s="51" t="str">
        <f>VLOOKUP(appointments7[[#This Row],[Doctor_ID]],Doctors!$A:$H,7,FALSE)</f>
        <v>Eastside Clinic</v>
      </c>
      <c r="O175" s="52">
        <v>45230</v>
      </c>
      <c r="P175" s="53">
        <v>0.46875</v>
      </c>
      <c r="Q175" s="51" t="s">
        <v>38</v>
      </c>
      <c r="R175" s="51" t="s">
        <v>19</v>
      </c>
      <c r="S175" s="51" t="str">
        <f>VLOOKUP(appointments7[[#This Row],[Appointment_ID]],Treatments!$A:$F,2,FALSE)</f>
        <v>T174</v>
      </c>
      <c r="T175" s="51" t="str">
        <f>VLOOKUP(appointments7[[#This Row],[Appointment_ID]],Treatments!$A:$F,3,FALSE)</f>
        <v>Chemotherapy</v>
      </c>
      <c r="U175" s="54">
        <f>VLOOKUP(treatments[[#This Row],[appointment_id]],Treatments!$A:$F,5,FALSE)</f>
        <v>3384.37</v>
      </c>
      <c r="V175" s="52">
        <f>VLOOKUP(appointments7[[#This Row],[Appointment_ID]],Treatments!$A:$F,6,FALSE)</f>
        <v>45230</v>
      </c>
      <c r="W175" s="52" t="str">
        <f>VLOOKUP(appointments7[[#This Row],[Patient_ID]],Billing!$A:$G,2,FALSE)</f>
        <v>B014</v>
      </c>
      <c r="X175" s="52">
        <f>VLOOKUP(appointments7[[#This Row],[Patient_ID]],Billing!$A:$H,4,FALSE)</f>
        <v>45071</v>
      </c>
      <c r="Y175" s="54">
        <f>VLOOKUP(appointments7[[#This Row],[Patient_ID]],Billing!$A:$G,5,FALSE)</f>
        <v>2082.3000000000002</v>
      </c>
      <c r="Z175" s="54" t="str">
        <f>VLOOKUP(appointments7[[#This Row],[Patient_ID]],Billing!$A:$G,6,FALSE)</f>
        <v>Credit Card</v>
      </c>
      <c r="AA175" s="52" t="str">
        <f>VLOOKUP(appointments7[[#This Row],[Patient_ID]],Billing!$A:$G,7,FALSE)</f>
        <v>Paid</v>
      </c>
      <c r="AB175" s="2"/>
      <c r="AC175" s="2"/>
    </row>
    <row r="176" spans="1:29" x14ac:dyDescent="0.4">
      <c r="A176" s="51" t="s">
        <v>247</v>
      </c>
      <c r="B176" s="51" t="s">
        <v>177</v>
      </c>
      <c r="C176" s="51" t="s">
        <v>883</v>
      </c>
      <c r="D176" s="51" t="str">
        <f>VLOOKUP(appointments7[[#This Row],[Patient_ID]],Patients!$A:$K,4,FALSE)</f>
        <v>M</v>
      </c>
      <c r="E176" s="52">
        <f>VLOOKUP(appointments7[[#This Row],[Patient_ID]],Patients!$A:$K,5,FALSE)</f>
        <v>26278</v>
      </c>
      <c r="F176" s="51">
        <f>VLOOKUP(appointments7[[#This Row],[Patient_ID]],Patients!$A:$K,6,FALSE)</f>
        <v>7060324619</v>
      </c>
      <c r="G176" s="51" t="str">
        <f>VLOOKUP(appointments7[[#This Row],[Patient_ID]],Patients!$A:$K,7,FALSE)</f>
        <v>321 Maple Dr</v>
      </c>
      <c r="H176" s="52">
        <f>VLOOKUP(appointments7[[#This Row],[Patient_ID]],Patients!$A:$K,8,FALSE)</f>
        <v>44822</v>
      </c>
      <c r="I176" s="51" t="str">
        <f>VLOOKUP(appointments7[[#This Row],[Patient_ID]],Patients!$A:$K,11,FALSE)</f>
        <v>laura.davis@mail.com</v>
      </c>
      <c r="J176" s="51" t="s">
        <v>25</v>
      </c>
      <c r="K176" s="51" t="s">
        <v>906</v>
      </c>
      <c r="L176" s="51" t="str">
        <f>VLOOKUP(appointments7[[#This Row],[Doctor_ID]],Doctors!$A:$H,4,FALSE)</f>
        <v>Pediatrics</v>
      </c>
      <c r="M176" s="51">
        <f>VLOOKUP(appointments7[[#This Row],[Doctor_ID]],Doctors!$A:$H,5,FALSE)</f>
        <v>8737740598</v>
      </c>
      <c r="N176" s="51" t="str">
        <f>VLOOKUP(appointments7[[#This Row],[Doctor_ID]],Doctors!$A:$H,7,FALSE)</f>
        <v>Eastside Clinic</v>
      </c>
      <c r="O176" s="52">
        <v>45221</v>
      </c>
      <c r="P176" s="53">
        <v>0.70833333333333326</v>
      </c>
      <c r="Q176" s="51" t="s">
        <v>18</v>
      </c>
      <c r="R176" s="51" t="s">
        <v>19</v>
      </c>
      <c r="S176" s="51" t="str">
        <f>VLOOKUP(appointments7[[#This Row],[Appointment_ID]],Treatments!$A:$F,2,FALSE)</f>
        <v>T175</v>
      </c>
      <c r="T176" s="51" t="str">
        <f>VLOOKUP(appointments7[[#This Row],[Appointment_ID]],Treatments!$A:$F,3,FALSE)</f>
        <v>X-Ray</v>
      </c>
      <c r="U176" s="54">
        <f>VLOOKUP(treatments[[#This Row],[appointment_id]],Treatments!$A:$F,5,FALSE)</f>
        <v>4201.16</v>
      </c>
      <c r="V176" s="52">
        <f>VLOOKUP(appointments7[[#This Row],[Appointment_ID]],Treatments!$A:$F,6,FALSE)</f>
        <v>45221</v>
      </c>
      <c r="W176" s="52" t="str">
        <f>VLOOKUP(appointments7[[#This Row],[Patient_ID]],Billing!$A:$G,2,FALSE)</f>
        <v>B107</v>
      </c>
      <c r="X176" s="52">
        <f>VLOOKUP(appointments7[[#This Row],[Patient_ID]],Billing!$A:$H,4,FALSE)</f>
        <v>45033</v>
      </c>
      <c r="Y176" s="54">
        <f>VLOOKUP(appointments7[[#This Row],[Patient_ID]],Billing!$A:$G,5,FALSE)</f>
        <v>3512.69</v>
      </c>
      <c r="Z176" s="54" t="str">
        <f>VLOOKUP(appointments7[[#This Row],[Patient_ID]],Billing!$A:$G,6,FALSE)</f>
        <v>Credit Card</v>
      </c>
      <c r="AA176" s="52" t="str">
        <f>VLOOKUP(appointments7[[#This Row],[Patient_ID]],Billing!$A:$G,7,FALSE)</f>
        <v>Pending</v>
      </c>
      <c r="AB176" s="2"/>
      <c r="AC176" s="2"/>
    </row>
    <row r="177" spans="1:29" x14ac:dyDescent="0.4">
      <c r="A177" s="51" t="s">
        <v>248</v>
      </c>
      <c r="B177" s="51" t="s">
        <v>92</v>
      </c>
      <c r="C177" s="51" t="s">
        <v>877</v>
      </c>
      <c r="D177" s="51" t="str">
        <f>VLOOKUP(appointments7[[#This Row],[Patient_ID]],Patients!$A:$K,4,FALSE)</f>
        <v>M</v>
      </c>
      <c r="E177" s="52">
        <f>VLOOKUP(appointments7[[#This Row],[Patient_ID]],Patients!$A:$K,5,FALSE)</f>
        <v>37177</v>
      </c>
      <c r="F177" s="51">
        <f>VLOOKUP(appointments7[[#This Row],[Patient_ID]],Patients!$A:$K,6,FALSE)</f>
        <v>7081396733</v>
      </c>
      <c r="G177" s="51" t="str">
        <f>VLOOKUP(appointments7[[#This Row],[Patient_ID]],Patients!$A:$K,7,FALSE)</f>
        <v>123 Elm St</v>
      </c>
      <c r="H177" s="52">
        <f>VLOOKUP(appointments7[[#This Row],[Patient_ID]],Patients!$A:$K,8,FALSE)</f>
        <v>44797</v>
      </c>
      <c r="I177" s="51" t="str">
        <f>VLOOKUP(appointments7[[#This Row],[Patient_ID]],Patients!$A:$K,11,FALSE)</f>
        <v>michael.taylor@mail.com</v>
      </c>
      <c r="J177" s="51" t="s">
        <v>9</v>
      </c>
      <c r="K177" s="51" t="s">
        <v>908</v>
      </c>
      <c r="L177" s="51" t="str">
        <f>VLOOKUP(appointments7[[#This Row],[Doctor_ID]],Doctors!$A:$H,4,FALSE)</f>
        <v>Pediatrics</v>
      </c>
      <c r="M177" s="51">
        <f>VLOOKUP(appointments7[[#This Row],[Doctor_ID]],Doctors!$A:$H,5,FALSE)</f>
        <v>7387087517</v>
      </c>
      <c r="N177" s="51" t="str">
        <f>VLOOKUP(appointments7[[#This Row],[Doctor_ID]],Doctors!$A:$H,7,FALSE)</f>
        <v>Central Hospital</v>
      </c>
      <c r="O177" s="52">
        <v>45042</v>
      </c>
      <c r="P177" s="53">
        <v>0.39583333333333326</v>
      </c>
      <c r="Q177" s="51" t="s">
        <v>10</v>
      </c>
      <c r="R177" s="51" t="s">
        <v>15</v>
      </c>
      <c r="S177" s="51" t="str">
        <f>VLOOKUP(appointments7[[#This Row],[Appointment_ID]],Treatments!$A:$F,2,FALSE)</f>
        <v>T176</v>
      </c>
      <c r="T177" s="51" t="str">
        <f>VLOOKUP(appointments7[[#This Row],[Appointment_ID]],Treatments!$A:$F,3,FALSE)</f>
        <v>MRI</v>
      </c>
      <c r="U177" s="54">
        <f>VLOOKUP(treatments[[#This Row],[appointment_id]],Treatments!$A:$F,5,FALSE)</f>
        <v>1096.3599999999999</v>
      </c>
      <c r="V177" s="52">
        <f>VLOOKUP(appointments7[[#This Row],[Appointment_ID]],Treatments!$A:$F,6,FALSE)</f>
        <v>45042</v>
      </c>
      <c r="W177" s="52" t="str">
        <f>VLOOKUP(appointments7[[#This Row],[Patient_ID]],Billing!$A:$G,2,FALSE)</f>
        <v>B040</v>
      </c>
      <c r="X177" s="52">
        <f>VLOOKUP(appointments7[[#This Row],[Patient_ID]],Billing!$A:$H,4,FALSE)</f>
        <v>45012</v>
      </c>
      <c r="Y177" s="54">
        <f>VLOOKUP(appointments7[[#This Row],[Patient_ID]],Billing!$A:$G,5,FALSE)</f>
        <v>695.36</v>
      </c>
      <c r="Z177" s="54" t="str">
        <f>VLOOKUP(appointments7[[#This Row],[Patient_ID]],Billing!$A:$G,6,FALSE)</f>
        <v>Cash</v>
      </c>
      <c r="AA177" s="52" t="str">
        <f>VLOOKUP(appointments7[[#This Row],[Patient_ID]],Billing!$A:$G,7,FALSE)</f>
        <v>Failed</v>
      </c>
      <c r="AB177" s="2"/>
      <c r="AC177" s="2"/>
    </row>
    <row r="178" spans="1:29" x14ac:dyDescent="0.4">
      <c r="A178" s="51" t="s">
        <v>249</v>
      </c>
      <c r="B178" s="51" t="s">
        <v>139</v>
      </c>
      <c r="C178" s="51" t="s">
        <v>900</v>
      </c>
      <c r="D178" s="51" t="str">
        <f>VLOOKUP(appointments7[[#This Row],[Patient_ID]],Patients!$A:$K,4,FALSE)</f>
        <v>F</v>
      </c>
      <c r="E178" s="52">
        <f>VLOOKUP(appointments7[[#This Row],[Patient_ID]],Patients!$A:$K,5,FALSE)</f>
        <v>27830</v>
      </c>
      <c r="F178" s="51">
        <f>VLOOKUP(appointments7[[#This Row],[Patient_ID]],Patients!$A:$K,6,FALSE)</f>
        <v>9449458981</v>
      </c>
      <c r="G178" s="51" t="str">
        <f>VLOOKUP(appointments7[[#This Row],[Patient_ID]],Patients!$A:$K,7,FALSE)</f>
        <v>321 Maple Dr</v>
      </c>
      <c r="H178" s="52">
        <f>VLOOKUP(appointments7[[#This Row],[Patient_ID]],Patients!$A:$K,8,FALSE)</f>
        <v>44952</v>
      </c>
      <c r="I178" s="51" t="str">
        <f>VLOOKUP(appointments7[[#This Row],[Patient_ID]],Patients!$A:$K,11,FALSE)</f>
        <v>robert.taylor@mail.com</v>
      </c>
      <c r="J178" s="51" t="s">
        <v>32</v>
      </c>
      <c r="K178" s="51" t="s">
        <v>911</v>
      </c>
      <c r="L178" s="51" t="str">
        <f>VLOOKUP(appointments7[[#This Row],[Doctor_ID]],Doctors!$A:$H,4,FALSE)</f>
        <v>Oncology</v>
      </c>
      <c r="M178" s="51">
        <f>VLOOKUP(appointments7[[#This Row],[Doctor_ID]],Doctors!$A:$H,5,FALSE)</f>
        <v>8217493115</v>
      </c>
      <c r="N178" s="51" t="str">
        <f>VLOOKUP(appointments7[[#This Row],[Doctor_ID]],Doctors!$A:$H,7,FALSE)</f>
        <v>Westside Clinic</v>
      </c>
      <c r="O178" s="52">
        <v>45154</v>
      </c>
      <c r="P178" s="53">
        <v>0.52083333333333326</v>
      </c>
      <c r="Q178" s="51" t="s">
        <v>10</v>
      </c>
      <c r="R178" s="51" t="s">
        <v>19</v>
      </c>
      <c r="S178" s="51" t="str">
        <f>VLOOKUP(appointments7[[#This Row],[Appointment_ID]],Treatments!$A:$F,2,FALSE)</f>
        <v>T177</v>
      </c>
      <c r="T178" s="51" t="str">
        <f>VLOOKUP(appointments7[[#This Row],[Appointment_ID]],Treatments!$A:$F,3,FALSE)</f>
        <v>MRI</v>
      </c>
      <c r="U178" s="54">
        <f>VLOOKUP(treatments[[#This Row],[appointment_id]],Treatments!$A:$F,5,FALSE)</f>
        <v>4379.07</v>
      </c>
      <c r="V178" s="52">
        <f>VLOOKUP(appointments7[[#This Row],[Appointment_ID]],Treatments!$A:$F,6,FALSE)</f>
        <v>45154</v>
      </c>
      <c r="W178" s="52" t="str">
        <f>VLOOKUP(appointments7[[#This Row],[Patient_ID]],Billing!$A:$G,2,FALSE)</f>
        <v>B076</v>
      </c>
      <c r="X178" s="52">
        <f>VLOOKUP(appointments7[[#This Row],[Patient_ID]],Billing!$A:$H,4,FALSE)</f>
        <v>45257</v>
      </c>
      <c r="Y178" s="54">
        <f>VLOOKUP(appointments7[[#This Row],[Patient_ID]],Billing!$A:$G,5,FALSE)</f>
        <v>4945.03</v>
      </c>
      <c r="Z178" s="54" t="str">
        <f>VLOOKUP(appointments7[[#This Row],[Patient_ID]],Billing!$A:$G,6,FALSE)</f>
        <v>Credit Card</v>
      </c>
      <c r="AA178" s="52" t="str">
        <f>VLOOKUP(appointments7[[#This Row],[Patient_ID]],Billing!$A:$G,7,FALSE)</f>
        <v>Pending</v>
      </c>
      <c r="AB178" s="2"/>
      <c r="AC178" s="2"/>
    </row>
    <row r="179" spans="1:29" x14ac:dyDescent="0.4">
      <c r="A179" s="51" t="s">
        <v>250</v>
      </c>
      <c r="B179" s="51" t="s">
        <v>151</v>
      </c>
      <c r="C179" s="51" t="s">
        <v>902</v>
      </c>
      <c r="D179" s="51" t="str">
        <f>VLOOKUP(appointments7[[#This Row],[Patient_ID]],Patients!$A:$K,4,FALSE)</f>
        <v>M</v>
      </c>
      <c r="E179" s="52">
        <f>VLOOKUP(appointments7[[#This Row],[Patient_ID]],Patients!$A:$K,5,FALSE)</f>
        <v>33359</v>
      </c>
      <c r="F179" s="51">
        <f>VLOOKUP(appointments7[[#This Row],[Patient_ID]],Patients!$A:$K,6,FALSE)</f>
        <v>6158428240</v>
      </c>
      <c r="G179" s="51" t="str">
        <f>VLOOKUP(appointments7[[#This Row],[Patient_ID]],Patients!$A:$K,7,FALSE)</f>
        <v>456 Oak Ave</v>
      </c>
      <c r="H179" s="52">
        <f>VLOOKUP(appointments7[[#This Row],[Patient_ID]],Patients!$A:$K,8,FALSE)</f>
        <v>44830</v>
      </c>
      <c r="I179" s="51" t="str">
        <f>VLOOKUP(appointments7[[#This Row],[Patient_ID]],Patients!$A:$K,11,FALSE)</f>
        <v>jane.jones@mail.com</v>
      </c>
      <c r="J179" s="51" t="s">
        <v>32</v>
      </c>
      <c r="K179" s="51" t="s">
        <v>911</v>
      </c>
      <c r="L179" s="51" t="str">
        <f>VLOOKUP(appointments7[[#This Row],[Doctor_ID]],Doctors!$A:$H,4,FALSE)</f>
        <v>Oncology</v>
      </c>
      <c r="M179" s="51">
        <f>VLOOKUP(appointments7[[#This Row],[Doctor_ID]],Doctors!$A:$H,5,FALSE)</f>
        <v>8217493115</v>
      </c>
      <c r="N179" s="51" t="str">
        <f>VLOOKUP(appointments7[[#This Row],[Doctor_ID]],Doctors!$A:$H,7,FALSE)</f>
        <v>Westside Clinic</v>
      </c>
      <c r="O179" s="52">
        <v>44943</v>
      </c>
      <c r="P179" s="53">
        <v>0.55208333333333326</v>
      </c>
      <c r="Q179" s="51" t="s">
        <v>29</v>
      </c>
      <c r="R179" s="51" t="s">
        <v>19</v>
      </c>
      <c r="S179" s="51" t="str">
        <f>VLOOKUP(appointments7[[#This Row],[Appointment_ID]],Treatments!$A:$F,2,FALSE)</f>
        <v>T178</v>
      </c>
      <c r="T179" s="51" t="str">
        <f>VLOOKUP(appointments7[[#This Row],[Appointment_ID]],Treatments!$A:$F,3,FALSE)</f>
        <v>X-Ray</v>
      </c>
      <c r="U179" s="54">
        <f>VLOOKUP(treatments[[#This Row],[appointment_id]],Treatments!$A:$F,5,FALSE)</f>
        <v>4652.41</v>
      </c>
      <c r="V179" s="52">
        <f>VLOOKUP(appointments7[[#This Row],[Appointment_ID]],Treatments!$A:$F,6,FALSE)</f>
        <v>44943</v>
      </c>
      <c r="W179" s="52" t="str">
        <f>VLOOKUP(appointments7[[#This Row],[Patient_ID]],Billing!$A:$G,2,FALSE)</f>
        <v>B086</v>
      </c>
      <c r="X179" s="52">
        <f>VLOOKUP(appointments7[[#This Row],[Patient_ID]],Billing!$A:$H,4,FALSE)</f>
        <v>45228</v>
      </c>
      <c r="Y179" s="54">
        <f>VLOOKUP(appointments7[[#This Row],[Patient_ID]],Billing!$A:$G,5,FALSE)</f>
        <v>3759.52</v>
      </c>
      <c r="Z179" s="54" t="str">
        <f>VLOOKUP(appointments7[[#This Row],[Patient_ID]],Billing!$A:$G,6,FALSE)</f>
        <v>Cash</v>
      </c>
      <c r="AA179" s="52" t="str">
        <f>VLOOKUP(appointments7[[#This Row],[Patient_ID]],Billing!$A:$G,7,FALSE)</f>
        <v>Pending</v>
      </c>
      <c r="AB179" s="2"/>
      <c r="AC179" s="2"/>
    </row>
    <row r="180" spans="1:29" x14ac:dyDescent="0.4">
      <c r="A180" s="51" t="s">
        <v>251</v>
      </c>
      <c r="B180" s="51" t="s">
        <v>252</v>
      </c>
      <c r="C180" s="51" t="s">
        <v>881</v>
      </c>
      <c r="D180" s="51" t="str">
        <f>VLOOKUP(appointments7[[#This Row],[Patient_ID]],Patients!$A:$K,4,FALSE)</f>
        <v>M</v>
      </c>
      <c r="E180" s="52">
        <f>VLOOKUP(appointments7[[#This Row],[Patient_ID]],Patients!$A:$K,5,FALSE)</f>
        <v>33414</v>
      </c>
      <c r="F180" s="51">
        <f>VLOOKUP(appointments7[[#This Row],[Patient_ID]],Patients!$A:$K,6,FALSE)</f>
        <v>6347262390</v>
      </c>
      <c r="G180" s="51" t="str">
        <f>VLOOKUP(appointments7[[#This Row],[Patient_ID]],Patients!$A:$K,7,FALSE)</f>
        <v>789 Pine Rd</v>
      </c>
      <c r="H180" s="52">
        <f>VLOOKUP(appointments7[[#This Row],[Patient_ID]],Patients!$A:$K,8,FALSE)</f>
        <v>44305</v>
      </c>
      <c r="I180" s="51" t="str">
        <f>VLOOKUP(appointments7[[#This Row],[Patient_ID]],Patients!$A:$K,11,FALSE)</f>
        <v>david.smith@mail.com</v>
      </c>
      <c r="J180" s="51" t="s">
        <v>22</v>
      </c>
      <c r="K180" s="51" t="s">
        <v>910</v>
      </c>
      <c r="L180" s="51" t="str">
        <f>VLOOKUP(appointments7[[#This Row],[Doctor_ID]],Doctors!$A:$H,4,FALSE)</f>
        <v>Pediatrics</v>
      </c>
      <c r="M180" s="51">
        <f>VLOOKUP(appointments7[[#This Row],[Doctor_ID]],Doctors!$A:$H,5,FALSE)</f>
        <v>6570137231</v>
      </c>
      <c r="N180" s="51" t="str">
        <f>VLOOKUP(appointments7[[#This Row],[Doctor_ID]],Doctors!$A:$H,7,FALSE)</f>
        <v>Central Hospital</v>
      </c>
      <c r="O180" s="52">
        <v>44993</v>
      </c>
      <c r="P180" s="53">
        <v>0.51041666666666674</v>
      </c>
      <c r="Q180" s="51" t="s">
        <v>29</v>
      </c>
      <c r="R180" s="51" t="s">
        <v>41</v>
      </c>
      <c r="S180" s="51" t="str">
        <f>VLOOKUP(appointments7[[#This Row],[Appointment_ID]],Treatments!$A:$F,2,FALSE)</f>
        <v>T179</v>
      </c>
      <c r="T180" s="51" t="str">
        <f>VLOOKUP(appointments7[[#This Row],[Appointment_ID]],Treatments!$A:$F,3,FALSE)</f>
        <v>Physiotherapy</v>
      </c>
      <c r="U180" s="54">
        <f>VLOOKUP(treatments[[#This Row],[appointment_id]],Treatments!$A:$F,5,FALSE)</f>
        <v>2691.78</v>
      </c>
      <c r="V180" s="52">
        <f>VLOOKUP(appointments7[[#This Row],[Appointment_ID]],Treatments!$A:$F,6,FALSE)</f>
        <v>44993</v>
      </c>
      <c r="W180" s="52" t="str">
        <f>VLOOKUP(appointments7[[#This Row],[Patient_ID]],Billing!$A:$G,2,FALSE)</f>
        <v>B179</v>
      </c>
      <c r="X180" s="52">
        <f>VLOOKUP(appointments7[[#This Row],[Patient_ID]],Billing!$A:$H,4,FALSE)</f>
        <v>44993</v>
      </c>
      <c r="Y180" s="54">
        <f>VLOOKUP(appointments7[[#This Row],[Patient_ID]],Billing!$A:$G,5,FALSE)</f>
        <v>2691.78</v>
      </c>
      <c r="Z180" s="54" t="str">
        <f>VLOOKUP(appointments7[[#This Row],[Patient_ID]],Billing!$A:$G,6,FALSE)</f>
        <v>Cash</v>
      </c>
      <c r="AA180" s="52" t="str">
        <f>VLOOKUP(appointments7[[#This Row],[Patient_ID]],Billing!$A:$G,7,FALSE)</f>
        <v>Failed</v>
      </c>
      <c r="AB180" s="2"/>
      <c r="AC180" s="2"/>
    </row>
    <row r="181" spans="1:29" x14ac:dyDescent="0.4">
      <c r="A181" s="51" t="s">
        <v>253</v>
      </c>
      <c r="B181" s="51" t="s">
        <v>163</v>
      </c>
      <c r="C181" s="51" t="s">
        <v>904</v>
      </c>
      <c r="D181" s="51" t="str">
        <f>VLOOKUP(appointments7[[#This Row],[Patient_ID]],Patients!$A:$K,4,FALSE)</f>
        <v>F</v>
      </c>
      <c r="E181" s="52">
        <f>VLOOKUP(appointments7[[#This Row],[Patient_ID]],Patients!$A:$K,5,FALSE)</f>
        <v>32667</v>
      </c>
      <c r="F181" s="51">
        <f>VLOOKUP(appointments7[[#This Row],[Patient_ID]],Patients!$A:$K,6,FALSE)</f>
        <v>6278710077</v>
      </c>
      <c r="G181" s="51" t="str">
        <f>VLOOKUP(appointments7[[#This Row],[Patient_ID]],Patients!$A:$K,7,FALSE)</f>
        <v>789 Pine Rd</v>
      </c>
      <c r="H181" s="52">
        <f>VLOOKUP(appointments7[[#This Row],[Patient_ID]],Patients!$A:$K,8,FALSE)</f>
        <v>44555</v>
      </c>
      <c r="I181" s="51" t="str">
        <f>VLOOKUP(appointments7[[#This Row],[Patient_ID]],Patients!$A:$K,11,FALSE)</f>
        <v>alex.johnson@mail.com</v>
      </c>
      <c r="J181" s="51" t="s">
        <v>54</v>
      </c>
      <c r="K181" s="51" t="s">
        <v>899</v>
      </c>
      <c r="L181" s="51" t="str">
        <f>VLOOKUP(appointments7[[#This Row],[Doctor_ID]],Doctors!$A:$H,4,FALSE)</f>
        <v>Dermatology</v>
      </c>
      <c r="M181" s="51">
        <f>VLOOKUP(appointments7[[#This Row],[Doctor_ID]],Doctors!$A:$H,5,FALSE)</f>
        <v>9069162601</v>
      </c>
      <c r="N181" s="51" t="str">
        <f>VLOOKUP(appointments7[[#This Row],[Doctor_ID]],Doctors!$A:$H,7,FALSE)</f>
        <v>Westside Clinic</v>
      </c>
      <c r="O181" s="52">
        <v>44933</v>
      </c>
      <c r="P181" s="53">
        <v>0.45833333333333326</v>
      </c>
      <c r="Q181" s="51" t="s">
        <v>18</v>
      </c>
      <c r="R181" s="51" t="s">
        <v>19</v>
      </c>
      <c r="S181" s="51" t="str">
        <f>VLOOKUP(appointments7[[#This Row],[Appointment_ID]],Treatments!$A:$F,2,FALSE)</f>
        <v>T180</v>
      </c>
      <c r="T181" s="51" t="str">
        <f>VLOOKUP(appointments7[[#This Row],[Appointment_ID]],Treatments!$A:$F,3,FALSE)</f>
        <v>Chemotherapy</v>
      </c>
      <c r="U181" s="54">
        <f>VLOOKUP(treatments[[#This Row],[appointment_id]],Treatments!$A:$F,5,FALSE)</f>
        <v>3228.14</v>
      </c>
      <c r="V181" s="52">
        <f>VLOOKUP(appointments7[[#This Row],[Appointment_ID]],Treatments!$A:$F,6,FALSE)</f>
        <v>44933</v>
      </c>
      <c r="W181" s="52" t="str">
        <f>VLOOKUP(appointments7[[#This Row],[Patient_ID]],Billing!$A:$G,2,FALSE)</f>
        <v>B095</v>
      </c>
      <c r="X181" s="52">
        <f>VLOOKUP(appointments7[[#This Row],[Patient_ID]],Billing!$A:$H,4,FALSE)</f>
        <v>45055</v>
      </c>
      <c r="Y181" s="54">
        <f>VLOOKUP(appointments7[[#This Row],[Patient_ID]],Billing!$A:$G,5,FALSE)</f>
        <v>2097.48</v>
      </c>
      <c r="Z181" s="54" t="str">
        <f>VLOOKUP(appointments7[[#This Row],[Patient_ID]],Billing!$A:$G,6,FALSE)</f>
        <v>Cash</v>
      </c>
      <c r="AA181" s="52" t="str">
        <f>VLOOKUP(appointments7[[#This Row],[Patient_ID]],Billing!$A:$G,7,FALSE)</f>
        <v>Failed</v>
      </c>
      <c r="AB181" s="2"/>
      <c r="AC181" s="2"/>
    </row>
    <row r="182" spans="1:29" x14ac:dyDescent="0.4">
      <c r="A182" s="51" t="s">
        <v>254</v>
      </c>
      <c r="B182" s="51" t="s">
        <v>72</v>
      </c>
      <c r="C182" s="51" t="s">
        <v>877</v>
      </c>
      <c r="D182" s="51" t="str">
        <f>VLOOKUP(appointments7[[#This Row],[Patient_ID]],Patients!$A:$K,4,FALSE)</f>
        <v>F</v>
      </c>
      <c r="E182" s="52">
        <f>VLOOKUP(appointments7[[#This Row],[Patient_ID]],Patients!$A:$K,5,FALSE)</f>
        <v>31656</v>
      </c>
      <c r="F182" s="51">
        <f>VLOOKUP(appointments7[[#This Row],[Patient_ID]],Patients!$A:$K,6,FALSE)</f>
        <v>8019925828</v>
      </c>
      <c r="G182" s="51" t="str">
        <f>VLOOKUP(appointments7[[#This Row],[Patient_ID]],Patients!$A:$K,7,FALSE)</f>
        <v>456 Oak Ave</v>
      </c>
      <c r="H182" s="52">
        <f>VLOOKUP(appointments7[[#This Row],[Patient_ID]],Patients!$A:$K,8,FALSE)</f>
        <v>44408</v>
      </c>
      <c r="I182" s="51" t="str">
        <f>VLOOKUP(appointments7[[#This Row],[Patient_ID]],Patients!$A:$K,11,FALSE)</f>
        <v>michael.taylor@mail.com</v>
      </c>
      <c r="J182" s="51" t="s">
        <v>14</v>
      </c>
      <c r="K182" s="51" t="s">
        <v>909</v>
      </c>
      <c r="L182" s="51" t="str">
        <f>VLOOKUP(appointments7[[#This Row],[Doctor_ID]],Doctors!$A:$H,4,FALSE)</f>
        <v>Pediatrics</v>
      </c>
      <c r="M182" s="51">
        <f>VLOOKUP(appointments7[[#This Row],[Doctor_ID]],Doctors!$A:$H,5,FALSE)</f>
        <v>6594221991</v>
      </c>
      <c r="N182" s="51" t="str">
        <f>VLOOKUP(appointments7[[#This Row],[Doctor_ID]],Doctors!$A:$H,7,FALSE)</f>
        <v>Central Hospital</v>
      </c>
      <c r="O182" s="52">
        <v>45172</v>
      </c>
      <c r="P182" s="53">
        <v>0.55208333333333326</v>
      </c>
      <c r="Q182" s="51" t="s">
        <v>26</v>
      </c>
      <c r="R182" s="51" t="s">
        <v>41</v>
      </c>
      <c r="S182" s="51" t="str">
        <f>VLOOKUP(appointments7[[#This Row],[Appointment_ID]],Treatments!$A:$F,2,FALSE)</f>
        <v>T181</v>
      </c>
      <c r="T182" s="51" t="str">
        <f>VLOOKUP(appointments7[[#This Row],[Appointment_ID]],Treatments!$A:$F,3,FALSE)</f>
        <v>MRI</v>
      </c>
      <c r="U182" s="54">
        <f>VLOOKUP(treatments[[#This Row],[appointment_id]],Treatments!$A:$F,5,FALSE)</f>
        <v>3941.64</v>
      </c>
      <c r="V182" s="52">
        <f>VLOOKUP(appointments7[[#This Row],[Appointment_ID]],Treatments!$A:$F,6,FALSE)</f>
        <v>45172</v>
      </c>
      <c r="W182" s="52" t="str">
        <f>VLOOKUP(appointments7[[#This Row],[Patient_ID]],Billing!$A:$G,2,FALSE)</f>
        <v>B026</v>
      </c>
      <c r="X182" s="52">
        <f>VLOOKUP(appointments7[[#This Row],[Patient_ID]],Billing!$A:$H,4,FALSE)</f>
        <v>45002</v>
      </c>
      <c r="Y182" s="54">
        <f>VLOOKUP(appointments7[[#This Row],[Patient_ID]],Billing!$A:$G,5,FALSE)</f>
        <v>2360.9699999999998</v>
      </c>
      <c r="Z182" s="54" t="str">
        <f>VLOOKUP(appointments7[[#This Row],[Patient_ID]],Billing!$A:$G,6,FALSE)</f>
        <v>Insurance</v>
      </c>
      <c r="AA182" s="52" t="str">
        <f>VLOOKUP(appointments7[[#This Row],[Patient_ID]],Billing!$A:$G,7,FALSE)</f>
        <v>Paid</v>
      </c>
      <c r="AB182" s="2"/>
      <c r="AC182" s="2"/>
    </row>
    <row r="183" spans="1:29" x14ac:dyDescent="0.4">
      <c r="A183" s="51" t="s">
        <v>255</v>
      </c>
      <c r="B183" s="51" t="s">
        <v>142</v>
      </c>
      <c r="C183" s="51" t="s">
        <v>901</v>
      </c>
      <c r="D183" s="51" t="str">
        <f>VLOOKUP(appointments7[[#This Row],[Patient_ID]],Patients!$A:$K,4,FALSE)</f>
        <v>F</v>
      </c>
      <c r="E183" s="52">
        <f>VLOOKUP(appointments7[[#This Row],[Patient_ID]],Patients!$A:$K,5,FALSE)</f>
        <v>32960</v>
      </c>
      <c r="F183" s="51">
        <f>VLOOKUP(appointments7[[#This Row],[Patient_ID]],Patients!$A:$K,6,FALSE)</f>
        <v>9059178882</v>
      </c>
      <c r="G183" s="51" t="str">
        <f>VLOOKUP(appointments7[[#This Row],[Patient_ID]],Patients!$A:$K,7,FALSE)</f>
        <v>321 Maple Dr</v>
      </c>
      <c r="H183" s="52">
        <f>VLOOKUP(appointments7[[#This Row],[Patient_ID]],Patients!$A:$K,8,FALSE)</f>
        <v>44553</v>
      </c>
      <c r="I183" s="51" t="str">
        <f>VLOOKUP(appointments7[[#This Row],[Patient_ID]],Patients!$A:$K,11,FALSE)</f>
        <v>laura.johnson@mail.com</v>
      </c>
      <c r="J183" s="51" t="s">
        <v>54</v>
      </c>
      <c r="K183" s="51" t="s">
        <v>899</v>
      </c>
      <c r="L183" s="51" t="str">
        <f>VLOOKUP(appointments7[[#This Row],[Doctor_ID]],Doctors!$A:$H,4,FALSE)</f>
        <v>Dermatology</v>
      </c>
      <c r="M183" s="51">
        <f>VLOOKUP(appointments7[[#This Row],[Doctor_ID]],Doctors!$A:$H,5,FALSE)</f>
        <v>9069162601</v>
      </c>
      <c r="N183" s="51" t="str">
        <f>VLOOKUP(appointments7[[#This Row],[Doctor_ID]],Doctors!$A:$H,7,FALSE)</f>
        <v>Westside Clinic</v>
      </c>
      <c r="O183" s="52">
        <v>45028</v>
      </c>
      <c r="P183" s="53">
        <v>0.33333333333333326</v>
      </c>
      <c r="Q183" s="51" t="s">
        <v>38</v>
      </c>
      <c r="R183" s="51" t="s">
        <v>41</v>
      </c>
      <c r="S183" s="51" t="str">
        <f>VLOOKUP(appointments7[[#This Row],[Appointment_ID]],Treatments!$A:$F,2,FALSE)</f>
        <v>T182</v>
      </c>
      <c r="T183" s="51" t="str">
        <f>VLOOKUP(appointments7[[#This Row],[Appointment_ID]],Treatments!$A:$F,3,FALSE)</f>
        <v>Physiotherapy</v>
      </c>
      <c r="U183" s="54">
        <f>VLOOKUP(treatments[[#This Row],[appointment_id]],Treatments!$A:$F,5,FALSE)</f>
        <v>1286.77</v>
      </c>
      <c r="V183" s="52">
        <f>VLOOKUP(appointments7[[#This Row],[Appointment_ID]],Treatments!$A:$F,6,FALSE)</f>
        <v>45028</v>
      </c>
      <c r="W183" s="52" t="str">
        <f>VLOOKUP(appointments7[[#This Row],[Patient_ID]],Billing!$A:$G,2,FALSE)</f>
        <v>B078</v>
      </c>
      <c r="X183" s="52">
        <f>VLOOKUP(appointments7[[#This Row],[Patient_ID]],Billing!$A:$H,4,FALSE)</f>
        <v>45186</v>
      </c>
      <c r="Y183" s="54">
        <f>VLOOKUP(appointments7[[#This Row],[Patient_ID]],Billing!$A:$G,5,FALSE)</f>
        <v>3628.15</v>
      </c>
      <c r="Z183" s="54" t="str">
        <f>VLOOKUP(appointments7[[#This Row],[Patient_ID]],Billing!$A:$G,6,FALSE)</f>
        <v>Credit Card</v>
      </c>
      <c r="AA183" s="52" t="str">
        <f>VLOOKUP(appointments7[[#This Row],[Patient_ID]],Billing!$A:$G,7,FALSE)</f>
        <v>Paid</v>
      </c>
      <c r="AB183" s="2"/>
      <c r="AC183" s="2"/>
    </row>
    <row r="184" spans="1:29" x14ac:dyDescent="0.4">
      <c r="A184" s="51" t="s">
        <v>256</v>
      </c>
      <c r="B184" s="51" t="s">
        <v>24</v>
      </c>
      <c r="C184" s="51" t="s">
        <v>874</v>
      </c>
      <c r="D184" s="51" t="str">
        <f>VLOOKUP(appointments7[[#This Row],[Patient_ID]],Patients!$A:$K,4,FALSE)</f>
        <v>M</v>
      </c>
      <c r="E184" s="52">
        <f>VLOOKUP(appointments7[[#This Row],[Patient_ID]],Patients!$A:$K,5,FALSE)</f>
        <v>26449</v>
      </c>
      <c r="F184" s="51">
        <f>VLOOKUP(appointments7[[#This Row],[Patient_ID]],Patients!$A:$K,6,FALSE)</f>
        <v>7587653815</v>
      </c>
      <c r="G184" s="51" t="str">
        <f>VLOOKUP(appointments7[[#This Row],[Patient_ID]],Patients!$A:$K,7,FALSE)</f>
        <v>456 Oak Ave</v>
      </c>
      <c r="H184" s="52">
        <f>VLOOKUP(appointments7[[#This Row],[Patient_ID]],Patients!$A:$K,8,FALSE)</f>
        <v>44485</v>
      </c>
      <c r="I184" s="51" t="str">
        <f>VLOOKUP(appointments7[[#This Row],[Patient_ID]],Patients!$A:$K,11,FALSE)</f>
        <v>emily.williams@mail.com</v>
      </c>
      <c r="J184" s="51" t="s">
        <v>14</v>
      </c>
      <c r="K184" s="51" t="s">
        <v>909</v>
      </c>
      <c r="L184" s="51" t="str">
        <f>VLOOKUP(appointments7[[#This Row],[Doctor_ID]],Doctors!$A:$H,4,FALSE)</f>
        <v>Pediatrics</v>
      </c>
      <c r="M184" s="51">
        <f>VLOOKUP(appointments7[[#This Row],[Doctor_ID]],Doctors!$A:$H,5,FALSE)</f>
        <v>6594221991</v>
      </c>
      <c r="N184" s="51" t="str">
        <f>VLOOKUP(appointments7[[#This Row],[Doctor_ID]],Doctors!$A:$H,7,FALSE)</f>
        <v>Central Hospital</v>
      </c>
      <c r="O184" s="52">
        <v>44960</v>
      </c>
      <c r="P184" s="53">
        <v>0.67708333333333326</v>
      </c>
      <c r="Q184" s="51" t="s">
        <v>29</v>
      </c>
      <c r="R184" s="51" t="s">
        <v>41</v>
      </c>
      <c r="S184" s="51" t="str">
        <f>VLOOKUP(appointments7[[#This Row],[Appointment_ID]],Treatments!$A:$F,2,FALSE)</f>
        <v>T183</v>
      </c>
      <c r="T184" s="51" t="str">
        <f>VLOOKUP(appointments7[[#This Row],[Appointment_ID]],Treatments!$A:$F,3,FALSE)</f>
        <v>X-Ray</v>
      </c>
      <c r="U184" s="54">
        <f>VLOOKUP(treatments[[#This Row],[appointment_id]],Treatments!$A:$F,5,FALSE)</f>
        <v>2761.55</v>
      </c>
      <c r="V184" s="52">
        <f>VLOOKUP(appointments7[[#This Row],[Appointment_ID]],Treatments!$A:$F,6,FALSE)</f>
        <v>44960</v>
      </c>
      <c r="W184" s="52" t="str">
        <f>VLOOKUP(appointments7[[#This Row],[Patient_ID]],Billing!$A:$G,2,FALSE)</f>
        <v>B005</v>
      </c>
      <c r="X184" s="52">
        <f>VLOOKUP(appointments7[[#This Row],[Patient_ID]],Billing!$A:$H,4,FALSE)</f>
        <v>45113</v>
      </c>
      <c r="Y184" s="54">
        <f>VLOOKUP(appointments7[[#This Row],[Patient_ID]],Billing!$A:$G,5,FALSE)</f>
        <v>582.04999999999995</v>
      </c>
      <c r="Z184" s="54" t="str">
        <f>VLOOKUP(appointments7[[#This Row],[Patient_ID]],Billing!$A:$G,6,FALSE)</f>
        <v>Credit Card</v>
      </c>
      <c r="AA184" s="52" t="str">
        <f>VLOOKUP(appointments7[[#This Row],[Patient_ID]],Billing!$A:$G,7,FALSE)</f>
        <v>Pending</v>
      </c>
      <c r="AB184" s="2"/>
      <c r="AC184" s="2"/>
    </row>
    <row r="185" spans="1:29" x14ac:dyDescent="0.4">
      <c r="A185" s="51" t="s">
        <v>257</v>
      </c>
      <c r="B185" s="51" t="s">
        <v>234</v>
      </c>
      <c r="C185" s="51" t="s">
        <v>906</v>
      </c>
      <c r="D185" s="51" t="str">
        <f>VLOOKUP(appointments7[[#This Row],[Patient_ID]],Patients!$A:$K,4,FALSE)</f>
        <v>F</v>
      </c>
      <c r="E185" s="52">
        <f>VLOOKUP(appointments7[[#This Row],[Patient_ID]],Patients!$A:$K,5,FALSE)</f>
        <v>19958</v>
      </c>
      <c r="F185" s="51">
        <f>VLOOKUP(appointments7[[#This Row],[Patient_ID]],Patients!$A:$K,6,FALSE)</f>
        <v>7040069008</v>
      </c>
      <c r="G185" s="51" t="str">
        <f>VLOOKUP(appointments7[[#This Row],[Patient_ID]],Patients!$A:$K,7,FALSE)</f>
        <v>789 Pine Rd</v>
      </c>
      <c r="H185" s="52">
        <f>VLOOKUP(appointments7[[#This Row],[Patient_ID]],Patients!$A:$K,8,FALSE)</f>
        <v>44635</v>
      </c>
      <c r="I185" s="51" t="str">
        <f>VLOOKUP(appointments7[[#This Row],[Patient_ID]],Patients!$A:$K,11,FALSE)</f>
        <v>jane.smith@mail.com</v>
      </c>
      <c r="J185" s="51" t="s">
        <v>54</v>
      </c>
      <c r="K185" s="51" t="s">
        <v>899</v>
      </c>
      <c r="L185" s="51" t="str">
        <f>VLOOKUP(appointments7[[#This Row],[Doctor_ID]],Doctors!$A:$H,4,FALSE)</f>
        <v>Dermatology</v>
      </c>
      <c r="M185" s="51">
        <f>VLOOKUP(appointments7[[#This Row],[Doctor_ID]],Doctors!$A:$H,5,FALSE)</f>
        <v>9069162601</v>
      </c>
      <c r="N185" s="51" t="str">
        <f>VLOOKUP(appointments7[[#This Row],[Doctor_ID]],Doctors!$A:$H,7,FALSE)</f>
        <v>Westside Clinic</v>
      </c>
      <c r="O185" s="52">
        <v>44983</v>
      </c>
      <c r="P185" s="53">
        <v>0.73958333333333326</v>
      </c>
      <c r="Q185" s="51" t="s">
        <v>10</v>
      </c>
      <c r="R185" s="51" t="s">
        <v>41</v>
      </c>
      <c r="S185" s="51" t="str">
        <f>VLOOKUP(appointments7[[#This Row],[Appointment_ID]],Treatments!$A:$F,2,FALSE)</f>
        <v>T184</v>
      </c>
      <c r="T185" s="51" t="str">
        <f>VLOOKUP(appointments7[[#This Row],[Appointment_ID]],Treatments!$A:$F,3,FALSE)</f>
        <v>Physiotherapy</v>
      </c>
      <c r="U185" s="54">
        <f>VLOOKUP(treatments[[#This Row],[appointment_id]],Treatments!$A:$F,5,FALSE)</f>
        <v>2293.98</v>
      </c>
      <c r="V185" s="52">
        <f>VLOOKUP(appointments7[[#This Row],[Appointment_ID]],Treatments!$A:$F,6,FALSE)</f>
        <v>44983</v>
      </c>
      <c r="W185" s="52" t="str">
        <f>VLOOKUP(appointments7[[#This Row],[Patient_ID]],Billing!$A:$G,2,FALSE)</f>
        <v>B162</v>
      </c>
      <c r="X185" s="52">
        <f>VLOOKUP(appointments7[[#This Row],[Patient_ID]],Billing!$A:$H,4,FALSE)</f>
        <v>44927</v>
      </c>
      <c r="Y185" s="54">
        <f>VLOOKUP(appointments7[[#This Row],[Patient_ID]],Billing!$A:$G,5,FALSE)</f>
        <v>2212.8000000000002</v>
      </c>
      <c r="Z185" s="54" t="str">
        <f>VLOOKUP(appointments7[[#This Row],[Patient_ID]],Billing!$A:$G,6,FALSE)</f>
        <v>Cash</v>
      </c>
      <c r="AA185" s="52" t="str">
        <f>VLOOKUP(appointments7[[#This Row],[Patient_ID]],Billing!$A:$G,7,FALSE)</f>
        <v>Paid</v>
      </c>
      <c r="AB185" s="2"/>
      <c r="AC185" s="2"/>
    </row>
    <row r="186" spans="1:29" x14ac:dyDescent="0.4">
      <c r="A186" s="51" t="s">
        <v>258</v>
      </c>
      <c r="B186" s="51" t="s">
        <v>177</v>
      </c>
      <c r="C186" s="51" t="s">
        <v>883</v>
      </c>
      <c r="D186" s="51" t="str">
        <f>VLOOKUP(appointments7[[#This Row],[Patient_ID]],Patients!$A:$K,4,FALSE)</f>
        <v>M</v>
      </c>
      <c r="E186" s="52">
        <f>VLOOKUP(appointments7[[#This Row],[Patient_ID]],Patients!$A:$K,5,FALSE)</f>
        <v>26278</v>
      </c>
      <c r="F186" s="51">
        <f>VLOOKUP(appointments7[[#This Row],[Patient_ID]],Patients!$A:$K,6,FALSE)</f>
        <v>7060324619</v>
      </c>
      <c r="G186" s="51" t="str">
        <f>VLOOKUP(appointments7[[#This Row],[Patient_ID]],Patients!$A:$K,7,FALSE)</f>
        <v>321 Maple Dr</v>
      </c>
      <c r="H186" s="52">
        <f>VLOOKUP(appointments7[[#This Row],[Patient_ID]],Patients!$A:$K,8,FALSE)</f>
        <v>44822</v>
      </c>
      <c r="I186" s="51" t="str">
        <f>VLOOKUP(appointments7[[#This Row],[Patient_ID]],Patients!$A:$K,11,FALSE)</f>
        <v>laura.davis@mail.com</v>
      </c>
      <c r="J186" s="51" t="s">
        <v>9</v>
      </c>
      <c r="K186" s="51" t="s">
        <v>908</v>
      </c>
      <c r="L186" s="51" t="str">
        <f>VLOOKUP(appointments7[[#This Row],[Doctor_ID]],Doctors!$A:$H,4,FALSE)</f>
        <v>Pediatrics</v>
      </c>
      <c r="M186" s="51">
        <f>VLOOKUP(appointments7[[#This Row],[Doctor_ID]],Doctors!$A:$H,5,FALSE)</f>
        <v>7387087517</v>
      </c>
      <c r="N186" s="51" t="str">
        <f>VLOOKUP(appointments7[[#This Row],[Doctor_ID]],Doctors!$A:$H,7,FALSE)</f>
        <v>Central Hospital</v>
      </c>
      <c r="O186" s="52">
        <v>45006</v>
      </c>
      <c r="P186" s="53">
        <v>0.58333333333333326</v>
      </c>
      <c r="Q186" s="51" t="s">
        <v>18</v>
      </c>
      <c r="R186" s="51" t="s">
        <v>11</v>
      </c>
      <c r="S186" s="51" t="str">
        <f>VLOOKUP(appointments7[[#This Row],[Appointment_ID]],Treatments!$A:$F,2,FALSE)</f>
        <v>T185</v>
      </c>
      <c r="T186" s="51" t="str">
        <f>VLOOKUP(appointments7[[#This Row],[Appointment_ID]],Treatments!$A:$F,3,FALSE)</f>
        <v>ECG</v>
      </c>
      <c r="U186" s="54">
        <f>VLOOKUP(treatments[[#This Row],[appointment_id]],Treatments!$A:$F,5,FALSE)</f>
        <v>1158.68</v>
      </c>
      <c r="V186" s="52">
        <f>VLOOKUP(appointments7[[#This Row],[Appointment_ID]],Treatments!$A:$F,6,FALSE)</f>
        <v>45006</v>
      </c>
      <c r="W186" s="52" t="str">
        <f>VLOOKUP(appointments7[[#This Row],[Patient_ID]],Billing!$A:$G,2,FALSE)</f>
        <v>B107</v>
      </c>
      <c r="X186" s="52">
        <f>VLOOKUP(appointments7[[#This Row],[Patient_ID]],Billing!$A:$H,4,FALSE)</f>
        <v>45033</v>
      </c>
      <c r="Y186" s="54">
        <f>VLOOKUP(appointments7[[#This Row],[Patient_ID]],Billing!$A:$G,5,FALSE)</f>
        <v>3512.69</v>
      </c>
      <c r="Z186" s="54" t="str">
        <f>VLOOKUP(appointments7[[#This Row],[Patient_ID]],Billing!$A:$G,6,FALSE)</f>
        <v>Credit Card</v>
      </c>
      <c r="AA186" s="52" t="str">
        <f>VLOOKUP(appointments7[[#This Row],[Patient_ID]],Billing!$A:$G,7,FALSE)</f>
        <v>Pending</v>
      </c>
      <c r="AB186" s="2"/>
      <c r="AC186" s="2"/>
    </row>
    <row r="187" spans="1:29" x14ac:dyDescent="0.4">
      <c r="A187" s="51" t="s">
        <v>259</v>
      </c>
      <c r="B187" s="51" t="s">
        <v>123</v>
      </c>
      <c r="C187" s="51" t="s">
        <v>898</v>
      </c>
      <c r="D187" s="51" t="str">
        <f>VLOOKUP(appointments7[[#This Row],[Patient_ID]],Patients!$A:$K,4,FALSE)</f>
        <v>M</v>
      </c>
      <c r="E187" s="52">
        <f>VLOOKUP(appointments7[[#This Row],[Patient_ID]],Patients!$A:$K,5,FALSE)</f>
        <v>34330</v>
      </c>
      <c r="F187" s="51">
        <f>VLOOKUP(appointments7[[#This Row],[Patient_ID]],Patients!$A:$K,6,FALSE)</f>
        <v>8301134730</v>
      </c>
      <c r="G187" s="51" t="str">
        <f>VLOOKUP(appointments7[[#This Row],[Patient_ID]],Patients!$A:$K,7,FALSE)</f>
        <v>321 Maple Dr</v>
      </c>
      <c r="H187" s="52">
        <f>VLOOKUP(appointments7[[#This Row],[Patient_ID]],Patients!$A:$K,8,FALSE)</f>
        <v>45044</v>
      </c>
      <c r="I187" s="51" t="str">
        <f>VLOOKUP(appointments7[[#This Row],[Patient_ID]],Patients!$A:$K,11,FALSE)</f>
        <v>laura.wilson@mail.com</v>
      </c>
      <c r="J187" s="51" t="s">
        <v>25</v>
      </c>
      <c r="K187" s="51" t="s">
        <v>906</v>
      </c>
      <c r="L187" s="51" t="str">
        <f>VLOOKUP(appointments7[[#This Row],[Doctor_ID]],Doctors!$A:$H,4,FALSE)</f>
        <v>Pediatrics</v>
      </c>
      <c r="M187" s="51">
        <f>VLOOKUP(appointments7[[#This Row],[Doctor_ID]],Doctors!$A:$H,5,FALSE)</f>
        <v>8737740598</v>
      </c>
      <c r="N187" s="51" t="str">
        <f>VLOOKUP(appointments7[[#This Row],[Doctor_ID]],Doctors!$A:$H,7,FALSE)</f>
        <v>Eastside Clinic</v>
      </c>
      <c r="O187" s="52">
        <v>45012</v>
      </c>
      <c r="P187" s="53">
        <v>0.71875</v>
      </c>
      <c r="Q187" s="51" t="s">
        <v>38</v>
      </c>
      <c r="R187" s="51" t="s">
        <v>15</v>
      </c>
      <c r="S187" s="51" t="str">
        <f>VLOOKUP(appointments7[[#This Row],[Appointment_ID]],Treatments!$A:$F,2,FALSE)</f>
        <v>T186</v>
      </c>
      <c r="T187" s="51" t="str">
        <f>VLOOKUP(appointments7[[#This Row],[Appointment_ID]],Treatments!$A:$F,3,FALSE)</f>
        <v>MRI</v>
      </c>
      <c r="U187" s="54">
        <f>VLOOKUP(treatments[[#This Row],[appointment_id]],Treatments!$A:$F,5,FALSE)</f>
        <v>2153.9</v>
      </c>
      <c r="V187" s="52">
        <f>VLOOKUP(appointments7[[#This Row],[Appointment_ID]],Treatments!$A:$F,6,FALSE)</f>
        <v>45012</v>
      </c>
      <c r="W187" s="52" t="str">
        <f>VLOOKUP(appointments7[[#This Row],[Patient_ID]],Billing!$A:$G,2,FALSE)</f>
        <v>B063</v>
      </c>
      <c r="X187" s="52">
        <f>VLOOKUP(appointments7[[#This Row],[Patient_ID]],Billing!$A:$H,4,FALSE)</f>
        <v>45106</v>
      </c>
      <c r="Y187" s="54">
        <f>VLOOKUP(appointments7[[#This Row],[Patient_ID]],Billing!$A:$G,5,FALSE)</f>
        <v>1256.06</v>
      </c>
      <c r="Z187" s="54" t="str">
        <f>VLOOKUP(appointments7[[#This Row],[Patient_ID]],Billing!$A:$G,6,FALSE)</f>
        <v>Insurance</v>
      </c>
      <c r="AA187" s="52" t="str">
        <f>VLOOKUP(appointments7[[#This Row],[Patient_ID]],Billing!$A:$G,7,FALSE)</f>
        <v>Failed</v>
      </c>
      <c r="AB187" s="2"/>
      <c r="AC187" s="2"/>
    </row>
    <row r="188" spans="1:29" x14ac:dyDescent="0.4">
      <c r="A188" s="51" t="s">
        <v>260</v>
      </c>
      <c r="B188" s="51" t="s">
        <v>117</v>
      </c>
      <c r="C188" s="51" t="s">
        <v>897</v>
      </c>
      <c r="D188" s="51" t="str">
        <f>VLOOKUP(appointments7[[#This Row],[Patient_ID]],Patients!$A:$K,4,FALSE)</f>
        <v>F</v>
      </c>
      <c r="E188" s="52">
        <f>VLOOKUP(appointments7[[#This Row],[Patient_ID]],Patients!$A:$K,5,FALSE)</f>
        <v>35975</v>
      </c>
      <c r="F188" s="51">
        <f>VLOOKUP(appointments7[[#This Row],[Patient_ID]],Patients!$A:$K,6,FALSE)</f>
        <v>8724518272</v>
      </c>
      <c r="G188" s="51" t="str">
        <f>VLOOKUP(appointments7[[#This Row],[Patient_ID]],Patients!$A:$K,7,FALSE)</f>
        <v>321 Maple Dr</v>
      </c>
      <c r="H188" s="52">
        <f>VLOOKUP(appointments7[[#This Row],[Patient_ID]],Patients!$A:$K,8,FALSE)</f>
        <v>44423</v>
      </c>
      <c r="I188" s="51" t="str">
        <f>VLOOKUP(appointments7[[#This Row],[Patient_ID]],Patients!$A:$K,11,FALSE)</f>
        <v>linda.moore@mail.com</v>
      </c>
      <c r="J188" s="51" t="s">
        <v>25</v>
      </c>
      <c r="K188" s="51" t="s">
        <v>906</v>
      </c>
      <c r="L188" s="51" t="str">
        <f>VLOOKUP(appointments7[[#This Row],[Doctor_ID]],Doctors!$A:$H,4,FALSE)</f>
        <v>Pediatrics</v>
      </c>
      <c r="M188" s="51">
        <f>VLOOKUP(appointments7[[#This Row],[Doctor_ID]],Doctors!$A:$H,5,FALSE)</f>
        <v>8737740598</v>
      </c>
      <c r="N188" s="51" t="str">
        <f>VLOOKUP(appointments7[[#This Row],[Doctor_ID]],Doctors!$A:$H,7,FALSE)</f>
        <v>Eastside Clinic</v>
      </c>
      <c r="O188" s="52">
        <v>44970</v>
      </c>
      <c r="P188" s="53">
        <v>0.52083333333333326</v>
      </c>
      <c r="Q188" s="51" t="s">
        <v>18</v>
      </c>
      <c r="R188" s="51" t="s">
        <v>11</v>
      </c>
      <c r="S188" s="51" t="str">
        <f>VLOOKUP(appointments7[[#This Row],[Appointment_ID]],Treatments!$A:$F,2,FALSE)</f>
        <v>T187</v>
      </c>
      <c r="T188" s="51" t="str">
        <f>VLOOKUP(appointments7[[#This Row],[Appointment_ID]],Treatments!$A:$F,3,FALSE)</f>
        <v>X-Ray</v>
      </c>
      <c r="U188" s="54">
        <f>VLOOKUP(treatments[[#This Row],[appointment_id]],Treatments!$A:$F,5,FALSE)</f>
        <v>806.78</v>
      </c>
      <c r="V188" s="52">
        <f>VLOOKUP(appointments7[[#This Row],[Appointment_ID]],Treatments!$A:$F,6,FALSE)</f>
        <v>44970</v>
      </c>
      <c r="W188" s="52" t="str">
        <f>VLOOKUP(appointments7[[#This Row],[Patient_ID]],Billing!$A:$G,2,FALSE)</f>
        <v>B059</v>
      </c>
      <c r="X188" s="52">
        <f>VLOOKUP(appointments7[[#This Row],[Patient_ID]],Billing!$A:$H,4,FALSE)</f>
        <v>44994</v>
      </c>
      <c r="Y188" s="54">
        <f>VLOOKUP(appointments7[[#This Row],[Patient_ID]],Billing!$A:$G,5,FALSE)</f>
        <v>929.91</v>
      </c>
      <c r="Z188" s="54" t="str">
        <f>VLOOKUP(appointments7[[#This Row],[Patient_ID]],Billing!$A:$G,6,FALSE)</f>
        <v>Cash</v>
      </c>
      <c r="AA188" s="52" t="str">
        <f>VLOOKUP(appointments7[[#This Row],[Patient_ID]],Billing!$A:$G,7,FALSE)</f>
        <v>Pending</v>
      </c>
      <c r="AB188" s="2"/>
      <c r="AC188" s="2"/>
    </row>
    <row r="189" spans="1:29" x14ac:dyDescent="0.4">
      <c r="A189" s="51" t="s">
        <v>261</v>
      </c>
      <c r="B189" s="51" t="s">
        <v>112</v>
      </c>
      <c r="C189" s="51" t="s">
        <v>896</v>
      </c>
      <c r="D189" s="51" t="str">
        <f>VLOOKUP(appointments7[[#This Row],[Patient_ID]],Patients!$A:$K,4,FALSE)</f>
        <v>F</v>
      </c>
      <c r="E189" s="52">
        <f>VLOOKUP(appointments7[[#This Row],[Patient_ID]],Patients!$A:$K,5,FALSE)</f>
        <v>30967</v>
      </c>
      <c r="F189" s="51">
        <f>VLOOKUP(appointments7[[#This Row],[Patient_ID]],Patients!$A:$K,6,FALSE)</f>
        <v>8228188767</v>
      </c>
      <c r="G189" s="51" t="str">
        <f>VLOOKUP(appointments7[[#This Row],[Patient_ID]],Patients!$A:$K,7,FALSE)</f>
        <v>321 Maple Dr</v>
      </c>
      <c r="H189" s="52">
        <f>VLOOKUP(appointments7[[#This Row],[Patient_ID]],Patients!$A:$K,8,FALSE)</f>
        <v>44576</v>
      </c>
      <c r="I189" s="51" t="str">
        <f>VLOOKUP(appointments7[[#This Row],[Patient_ID]],Patients!$A:$K,11,FALSE)</f>
        <v>emily.smith@mail.com</v>
      </c>
      <c r="J189" s="51" t="s">
        <v>48</v>
      </c>
      <c r="K189" s="51" t="s">
        <v>913</v>
      </c>
      <c r="L189" s="51" t="str">
        <f>VLOOKUP(appointments7[[#This Row],[Doctor_ID]],Doctors!$A:$H,4,FALSE)</f>
        <v>Pediatrics</v>
      </c>
      <c r="M189" s="51">
        <f>VLOOKUP(appointments7[[#This Row],[Doctor_ID]],Doctors!$A:$H,5,FALSE)</f>
        <v>9004382050</v>
      </c>
      <c r="N189" s="51" t="str">
        <f>VLOOKUP(appointments7[[#This Row],[Doctor_ID]],Doctors!$A:$H,7,FALSE)</f>
        <v>Eastside Clinic</v>
      </c>
      <c r="O189" s="52">
        <v>45028</v>
      </c>
      <c r="P189" s="53">
        <v>0.6875</v>
      </c>
      <c r="Q189" s="51" t="s">
        <v>38</v>
      </c>
      <c r="R189" s="51" t="s">
        <v>19</v>
      </c>
      <c r="S189" s="51" t="str">
        <f>VLOOKUP(appointments7[[#This Row],[Appointment_ID]],Treatments!$A:$F,2,FALSE)</f>
        <v>T188</v>
      </c>
      <c r="T189" s="51" t="str">
        <f>VLOOKUP(appointments7[[#This Row],[Appointment_ID]],Treatments!$A:$F,3,FALSE)</f>
        <v>Chemotherapy</v>
      </c>
      <c r="U189" s="54">
        <f>VLOOKUP(treatments[[#This Row],[appointment_id]],Treatments!$A:$F,5,FALSE)</f>
        <v>616.15</v>
      </c>
      <c r="V189" s="52">
        <f>VLOOKUP(appointments7[[#This Row],[Appointment_ID]],Treatments!$A:$F,6,FALSE)</f>
        <v>45028</v>
      </c>
      <c r="W189" s="52" t="str">
        <f>VLOOKUP(appointments7[[#This Row],[Patient_ID]],Billing!$A:$G,2,FALSE)</f>
        <v>B055</v>
      </c>
      <c r="X189" s="52">
        <f>VLOOKUP(appointments7[[#This Row],[Patient_ID]],Billing!$A:$H,4,FALSE)</f>
        <v>45205</v>
      </c>
      <c r="Y189" s="54">
        <f>VLOOKUP(appointments7[[#This Row],[Patient_ID]],Billing!$A:$G,5,FALSE)</f>
        <v>1736.63</v>
      </c>
      <c r="Z189" s="54" t="str">
        <f>VLOOKUP(appointments7[[#This Row],[Patient_ID]],Billing!$A:$G,6,FALSE)</f>
        <v>Cash</v>
      </c>
      <c r="AA189" s="52" t="str">
        <f>VLOOKUP(appointments7[[#This Row],[Patient_ID]],Billing!$A:$G,7,FALSE)</f>
        <v>Failed</v>
      </c>
      <c r="AB189" s="2"/>
      <c r="AC189" s="2"/>
    </row>
    <row r="190" spans="1:29" x14ac:dyDescent="0.4">
      <c r="A190" s="51" t="s">
        <v>262</v>
      </c>
      <c r="B190" s="51" t="s">
        <v>40</v>
      </c>
      <c r="C190" s="51" t="s">
        <v>879</v>
      </c>
      <c r="D190" s="51" t="str">
        <f>VLOOKUP(appointments7[[#This Row],[Patient_ID]],Patients!$A:$K,4,FALSE)</f>
        <v>M</v>
      </c>
      <c r="E190" s="52">
        <f>VLOOKUP(appointments7[[#This Row],[Patient_ID]],Patients!$A:$K,5,FALSE)</f>
        <v>22090</v>
      </c>
      <c r="F190" s="51">
        <f>VLOOKUP(appointments7[[#This Row],[Patient_ID]],Patients!$A:$K,6,FALSE)</f>
        <v>7734463155</v>
      </c>
      <c r="G190" s="51" t="str">
        <f>VLOOKUP(appointments7[[#This Row],[Patient_ID]],Patients!$A:$K,7,FALSE)</f>
        <v>123 Elm St</v>
      </c>
      <c r="H190" s="52">
        <f>VLOOKUP(appointments7[[#This Row],[Patient_ID]],Patients!$A:$K,8,FALSE)</f>
        <v>44468</v>
      </c>
      <c r="I190" s="51" t="str">
        <f>VLOOKUP(appointments7[[#This Row],[Patient_ID]],Patients!$A:$K,11,FALSE)</f>
        <v>david.wilson@mail.com</v>
      </c>
      <c r="J190" s="51" t="s">
        <v>35</v>
      </c>
      <c r="K190" s="51" t="s">
        <v>912</v>
      </c>
      <c r="L190" s="51" t="str">
        <f>VLOOKUP(appointments7[[#This Row],[Doctor_ID]],Doctors!$A:$H,4,FALSE)</f>
        <v>Oncology</v>
      </c>
      <c r="M190" s="51">
        <f>VLOOKUP(appointments7[[#This Row],[Doctor_ID]],Doctors!$A:$H,5,FALSE)</f>
        <v>6176383634</v>
      </c>
      <c r="N190" s="51" t="str">
        <f>VLOOKUP(appointments7[[#This Row],[Doctor_ID]],Doctors!$A:$H,7,FALSE)</f>
        <v>Eastside Clinic</v>
      </c>
      <c r="O190" s="52">
        <v>45204</v>
      </c>
      <c r="P190" s="53">
        <v>0.5625</v>
      </c>
      <c r="Q190" s="51" t="s">
        <v>38</v>
      </c>
      <c r="R190" s="51" t="s">
        <v>11</v>
      </c>
      <c r="S190" s="51" t="str">
        <f>VLOOKUP(appointments7[[#This Row],[Appointment_ID]],Treatments!$A:$F,2,FALSE)</f>
        <v>T189</v>
      </c>
      <c r="T190" s="51" t="str">
        <f>VLOOKUP(appointments7[[#This Row],[Appointment_ID]],Treatments!$A:$F,3,FALSE)</f>
        <v>X-Ray</v>
      </c>
      <c r="U190" s="54">
        <f>VLOOKUP(treatments[[#This Row],[appointment_id]],Treatments!$A:$F,5,FALSE)</f>
        <v>1108.25</v>
      </c>
      <c r="V190" s="52">
        <f>VLOOKUP(appointments7[[#This Row],[Appointment_ID]],Treatments!$A:$F,6,FALSE)</f>
        <v>45204</v>
      </c>
      <c r="W190" s="52" t="str">
        <f>VLOOKUP(appointments7[[#This Row],[Patient_ID]],Billing!$A:$G,2,FALSE)</f>
        <v>B010</v>
      </c>
      <c r="X190" s="52">
        <f>VLOOKUP(appointments7[[#This Row],[Patient_ID]],Billing!$A:$H,4,FALSE)</f>
        <v>44939</v>
      </c>
      <c r="Y190" s="54">
        <f>VLOOKUP(appointments7[[#This Row],[Patient_ID]],Billing!$A:$G,5,FALSE)</f>
        <v>1595.67</v>
      </c>
      <c r="Z190" s="54" t="str">
        <f>VLOOKUP(appointments7[[#This Row],[Patient_ID]],Billing!$A:$G,6,FALSE)</f>
        <v>Cash</v>
      </c>
      <c r="AA190" s="52" t="str">
        <f>VLOOKUP(appointments7[[#This Row],[Patient_ID]],Billing!$A:$G,7,FALSE)</f>
        <v>Paid</v>
      </c>
      <c r="AB190" s="2"/>
      <c r="AC190" s="2"/>
    </row>
    <row r="191" spans="1:29" x14ac:dyDescent="0.4">
      <c r="A191" s="51" t="s">
        <v>263</v>
      </c>
      <c r="B191" s="51" t="s">
        <v>45</v>
      </c>
      <c r="C191" s="51" t="s">
        <v>881</v>
      </c>
      <c r="D191" s="51" t="str">
        <f>VLOOKUP(appointments7[[#This Row],[Patient_ID]],Patients!$A:$K,4,FALSE)</f>
        <v>M</v>
      </c>
      <c r="E191" s="52">
        <f>VLOOKUP(appointments7[[#This Row],[Patient_ID]],Patients!$A:$K,5,FALSE)</f>
        <v>38487</v>
      </c>
      <c r="F191" s="51">
        <f>VLOOKUP(appointments7[[#This Row],[Patient_ID]],Patients!$A:$K,6,FALSE)</f>
        <v>8923607677</v>
      </c>
      <c r="G191" s="51" t="str">
        <f>VLOOKUP(appointments7[[#This Row],[Patient_ID]],Patients!$A:$K,7,FALSE)</f>
        <v>789 Pine Rd</v>
      </c>
      <c r="H191" s="52">
        <f>VLOOKUP(appointments7[[#This Row],[Patient_ID]],Patients!$A:$K,8,FALSE)</f>
        <v>45035</v>
      </c>
      <c r="I191" s="51" t="str">
        <f>VLOOKUP(appointments7[[#This Row],[Patient_ID]],Patients!$A:$K,11,FALSE)</f>
        <v>david.smith@mail.com</v>
      </c>
      <c r="J191" s="51" t="s">
        <v>25</v>
      </c>
      <c r="K191" s="51" t="s">
        <v>906</v>
      </c>
      <c r="L191" s="51" t="str">
        <f>VLOOKUP(appointments7[[#This Row],[Doctor_ID]],Doctors!$A:$H,4,FALSE)</f>
        <v>Pediatrics</v>
      </c>
      <c r="M191" s="51">
        <f>VLOOKUP(appointments7[[#This Row],[Doctor_ID]],Doctors!$A:$H,5,FALSE)</f>
        <v>8737740598</v>
      </c>
      <c r="N191" s="51" t="str">
        <f>VLOOKUP(appointments7[[#This Row],[Doctor_ID]],Doctors!$A:$H,7,FALSE)</f>
        <v>Eastside Clinic</v>
      </c>
      <c r="O191" s="52">
        <v>45246</v>
      </c>
      <c r="P191" s="53">
        <v>0.63541666666666674</v>
      </c>
      <c r="Q191" s="51" t="s">
        <v>29</v>
      </c>
      <c r="R191" s="51" t="s">
        <v>11</v>
      </c>
      <c r="S191" s="51" t="str">
        <f>VLOOKUP(appointments7[[#This Row],[Appointment_ID]],Treatments!$A:$F,2,FALSE)</f>
        <v>T190</v>
      </c>
      <c r="T191" s="51" t="str">
        <f>VLOOKUP(appointments7[[#This Row],[Appointment_ID]],Treatments!$A:$F,3,FALSE)</f>
        <v>Chemotherapy</v>
      </c>
      <c r="U191" s="54">
        <f>VLOOKUP(treatments[[#This Row],[appointment_id]],Treatments!$A:$F,5,FALSE)</f>
        <v>4834.0200000000004</v>
      </c>
      <c r="V191" s="52">
        <f>VLOOKUP(appointments7[[#This Row],[Appointment_ID]],Treatments!$A:$F,6,FALSE)</f>
        <v>45246</v>
      </c>
      <c r="W191" s="52" t="str">
        <f>VLOOKUP(appointments7[[#This Row],[Patient_ID]],Billing!$A:$G,2,FALSE)</f>
        <v>B012</v>
      </c>
      <c r="X191" s="52">
        <f>VLOOKUP(appointments7[[#This Row],[Patient_ID]],Billing!$A:$H,4,FALSE)</f>
        <v>45053</v>
      </c>
      <c r="Y191" s="54">
        <f>VLOOKUP(appointments7[[#This Row],[Patient_ID]],Billing!$A:$G,5,FALSE)</f>
        <v>771.2</v>
      </c>
      <c r="Z191" s="54" t="str">
        <f>VLOOKUP(appointments7[[#This Row],[Patient_ID]],Billing!$A:$G,6,FALSE)</f>
        <v>Insurance</v>
      </c>
      <c r="AA191" s="52" t="str">
        <f>VLOOKUP(appointments7[[#This Row],[Patient_ID]],Billing!$A:$G,7,FALSE)</f>
        <v>Pending</v>
      </c>
      <c r="AB191" s="2"/>
      <c r="AC191" s="2"/>
    </row>
    <row r="192" spans="1:29" x14ac:dyDescent="0.4">
      <c r="A192" s="51" t="s">
        <v>264</v>
      </c>
      <c r="B192" s="51" t="s">
        <v>56</v>
      </c>
      <c r="C192" s="51" t="s">
        <v>885</v>
      </c>
      <c r="D192" s="51" t="str">
        <f>VLOOKUP(appointments7[[#This Row],[Patient_ID]],Patients!$A:$K,4,FALSE)</f>
        <v>M</v>
      </c>
      <c r="E192" s="52">
        <f>VLOOKUP(appointments7[[#This Row],[Patient_ID]],Patients!$A:$K,5,FALSE)</f>
        <v>36196</v>
      </c>
      <c r="F192" s="51">
        <f>VLOOKUP(appointments7[[#This Row],[Patient_ID]],Patients!$A:$K,6,FALSE)</f>
        <v>8886800195</v>
      </c>
      <c r="G192" s="51" t="str">
        <f>VLOOKUP(appointments7[[#This Row],[Patient_ID]],Patients!$A:$K,7,FALSE)</f>
        <v>456 Oak Ave</v>
      </c>
      <c r="H192" s="52">
        <f>VLOOKUP(appointments7[[#This Row],[Patient_ID]],Patients!$A:$K,8,FALSE)</f>
        <v>44469</v>
      </c>
      <c r="I192" s="51" t="str">
        <f>VLOOKUP(appointments7[[#This Row],[Patient_ID]],Patients!$A:$K,11,FALSE)</f>
        <v>robert.williams@mail.com</v>
      </c>
      <c r="J192" s="51" t="s">
        <v>25</v>
      </c>
      <c r="K192" s="51" t="s">
        <v>906</v>
      </c>
      <c r="L192" s="51" t="str">
        <f>VLOOKUP(appointments7[[#This Row],[Doctor_ID]],Doctors!$A:$H,4,FALSE)</f>
        <v>Pediatrics</v>
      </c>
      <c r="M192" s="51">
        <f>VLOOKUP(appointments7[[#This Row],[Doctor_ID]],Doctors!$A:$H,5,FALSE)</f>
        <v>8737740598</v>
      </c>
      <c r="N192" s="51" t="str">
        <f>VLOOKUP(appointments7[[#This Row],[Doctor_ID]],Doctors!$A:$H,7,FALSE)</f>
        <v>Eastside Clinic</v>
      </c>
      <c r="O192" s="52">
        <v>45028</v>
      </c>
      <c r="P192" s="53">
        <v>0.66666666666666674</v>
      </c>
      <c r="Q192" s="51" t="s">
        <v>18</v>
      </c>
      <c r="R192" s="51" t="s">
        <v>19</v>
      </c>
      <c r="S192" s="51" t="str">
        <f>VLOOKUP(appointments7[[#This Row],[Appointment_ID]],Treatments!$A:$F,2,FALSE)</f>
        <v>T191</v>
      </c>
      <c r="T192" s="51" t="str">
        <f>VLOOKUP(appointments7[[#This Row],[Appointment_ID]],Treatments!$A:$F,3,FALSE)</f>
        <v>X-Ray</v>
      </c>
      <c r="U192" s="54">
        <f>VLOOKUP(treatments[[#This Row],[appointment_id]],Treatments!$A:$F,5,FALSE)</f>
        <v>2972.88</v>
      </c>
      <c r="V192" s="52">
        <f>VLOOKUP(appointments7[[#This Row],[Appointment_ID]],Treatments!$A:$F,6,FALSE)</f>
        <v>45028</v>
      </c>
      <c r="W192" s="52" t="str">
        <f>VLOOKUP(appointments7[[#This Row],[Patient_ID]],Billing!$A:$G,2,FALSE)</f>
        <v>B017</v>
      </c>
      <c r="X192" s="52">
        <f>VLOOKUP(appointments7[[#This Row],[Patient_ID]],Billing!$A:$H,4,FALSE)</f>
        <v>45118</v>
      </c>
      <c r="Y192" s="54">
        <f>VLOOKUP(appointments7[[#This Row],[Patient_ID]],Billing!$A:$G,5,FALSE)</f>
        <v>1655.49</v>
      </c>
      <c r="Z192" s="54" t="str">
        <f>VLOOKUP(appointments7[[#This Row],[Patient_ID]],Billing!$A:$G,6,FALSE)</f>
        <v>Credit Card</v>
      </c>
      <c r="AA192" s="52" t="str">
        <f>VLOOKUP(appointments7[[#This Row],[Patient_ID]],Billing!$A:$G,7,FALSE)</f>
        <v>Pending</v>
      </c>
      <c r="AB192" s="2"/>
      <c r="AC192" s="2"/>
    </row>
    <row r="193" spans="1:29" x14ac:dyDescent="0.4">
      <c r="A193" s="51" t="s">
        <v>265</v>
      </c>
      <c r="B193" s="51" t="s">
        <v>252</v>
      </c>
      <c r="C193" s="51" t="s">
        <v>881</v>
      </c>
      <c r="D193" s="51" t="str">
        <f>VLOOKUP(appointments7[[#This Row],[Patient_ID]],Patients!$A:$K,4,FALSE)</f>
        <v>M</v>
      </c>
      <c r="E193" s="52">
        <f>VLOOKUP(appointments7[[#This Row],[Patient_ID]],Patients!$A:$K,5,FALSE)</f>
        <v>33414</v>
      </c>
      <c r="F193" s="51">
        <f>VLOOKUP(appointments7[[#This Row],[Patient_ID]],Patients!$A:$K,6,FALSE)</f>
        <v>6347262390</v>
      </c>
      <c r="G193" s="51" t="str">
        <f>VLOOKUP(appointments7[[#This Row],[Patient_ID]],Patients!$A:$K,7,FALSE)</f>
        <v>789 Pine Rd</v>
      </c>
      <c r="H193" s="52">
        <f>VLOOKUP(appointments7[[#This Row],[Patient_ID]],Patients!$A:$K,8,FALSE)</f>
        <v>44305</v>
      </c>
      <c r="I193" s="51" t="str">
        <f>VLOOKUP(appointments7[[#This Row],[Patient_ID]],Patients!$A:$K,11,FALSE)</f>
        <v>david.smith@mail.com</v>
      </c>
      <c r="J193" s="51" t="s">
        <v>74</v>
      </c>
      <c r="K193" s="51" t="s">
        <v>915</v>
      </c>
      <c r="L193" s="51" t="str">
        <f>VLOOKUP(appointments7[[#This Row],[Doctor_ID]],Doctors!$A:$H,4,FALSE)</f>
        <v>Dermatology</v>
      </c>
      <c r="M193" s="51">
        <f>VLOOKUP(appointments7[[#This Row],[Doctor_ID]],Doctors!$A:$H,5,FALSE)</f>
        <v>9118538547</v>
      </c>
      <c r="N193" s="51" t="str">
        <f>VLOOKUP(appointments7[[#This Row],[Doctor_ID]],Doctors!$A:$H,7,FALSE)</f>
        <v>Central Hospital</v>
      </c>
      <c r="O193" s="52">
        <v>45169</v>
      </c>
      <c r="P193" s="53">
        <v>0.59375</v>
      </c>
      <c r="Q193" s="51" t="s">
        <v>18</v>
      </c>
      <c r="R193" s="51" t="s">
        <v>19</v>
      </c>
      <c r="S193" s="51" t="str">
        <f>VLOOKUP(appointments7[[#This Row],[Appointment_ID]],Treatments!$A:$F,2,FALSE)</f>
        <v>T192</v>
      </c>
      <c r="T193" s="51" t="str">
        <f>VLOOKUP(appointments7[[#This Row],[Appointment_ID]],Treatments!$A:$F,3,FALSE)</f>
        <v>Physiotherapy</v>
      </c>
      <c r="U193" s="54">
        <f>VLOOKUP(treatments[[#This Row],[appointment_id]],Treatments!$A:$F,5,FALSE)</f>
        <v>4846.2</v>
      </c>
      <c r="V193" s="52">
        <f>VLOOKUP(appointments7[[#This Row],[Appointment_ID]],Treatments!$A:$F,6,FALSE)</f>
        <v>45169</v>
      </c>
      <c r="W193" s="52" t="str">
        <f>VLOOKUP(appointments7[[#This Row],[Patient_ID]],Billing!$A:$G,2,FALSE)</f>
        <v>B179</v>
      </c>
      <c r="X193" s="52">
        <f>VLOOKUP(appointments7[[#This Row],[Patient_ID]],Billing!$A:$H,4,FALSE)</f>
        <v>44993</v>
      </c>
      <c r="Y193" s="54">
        <f>VLOOKUP(appointments7[[#This Row],[Patient_ID]],Billing!$A:$G,5,FALSE)</f>
        <v>2691.78</v>
      </c>
      <c r="Z193" s="54" t="str">
        <f>VLOOKUP(appointments7[[#This Row],[Patient_ID]],Billing!$A:$G,6,FALSE)</f>
        <v>Cash</v>
      </c>
      <c r="AA193" s="52" t="str">
        <f>VLOOKUP(appointments7[[#This Row],[Patient_ID]],Billing!$A:$G,7,FALSE)</f>
        <v>Failed</v>
      </c>
      <c r="AB193" s="2"/>
      <c r="AC193" s="2"/>
    </row>
    <row r="194" spans="1:29" x14ac:dyDescent="0.4">
      <c r="A194" s="51" t="s">
        <v>266</v>
      </c>
      <c r="B194" s="51" t="s">
        <v>100</v>
      </c>
      <c r="C194" s="51" t="s">
        <v>893</v>
      </c>
      <c r="D194" s="51" t="str">
        <f>VLOOKUP(appointments7[[#This Row],[Patient_ID]],Patients!$A:$K,4,FALSE)</f>
        <v>M</v>
      </c>
      <c r="E194" s="52">
        <f>VLOOKUP(appointments7[[#This Row],[Patient_ID]],Patients!$A:$K,5,FALSE)</f>
        <v>27538</v>
      </c>
      <c r="F194" s="51">
        <f>VLOOKUP(appointments7[[#This Row],[Patient_ID]],Patients!$A:$K,6,FALSE)</f>
        <v>8618058864</v>
      </c>
      <c r="G194" s="51" t="str">
        <f>VLOOKUP(appointments7[[#This Row],[Patient_ID]],Patients!$A:$K,7,FALSE)</f>
        <v>789 Pine Rd</v>
      </c>
      <c r="H194" s="52">
        <f>VLOOKUP(appointments7[[#This Row],[Patient_ID]],Patients!$A:$K,8,FALSE)</f>
        <v>45101</v>
      </c>
      <c r="I194" s="51" t="str">
        <f>VLOOKUP(appointments7[[#This Row],[Patient_ID]],Patients!$A:$K,11,FALSE)</f>
        <v>sarah.miller@mail.com</v>
      </c>
      <c r="J194" s="51" t="s">
        <v>74</v>
      </c>
      <c r="K194" s="51" t="s">
        <v>915</v>
      </c>
      <c r="L194" s="51" t="str">
        <f>VLOOKUP(appointments7[[#This Row],[Doctor_ID]],Doctors!$A:$H,4,FALSE)</f>
        <v>Dermatology</v>
      </c>
      <c r="M194" s="51">
        <f>VLOOKUP(appointments7[[#This Row],[Doctor_ID]],Doctors!$A:$H,5,FALSE)</f>
        <v>9118538547</v>
      </c>
      <c r="N194" s="51" t="str">
        <f>VLOOKUP(appointments7[[#This Row],[Doctor_ID]],Doctors!$A:$H,7,FALSE)</f>
        <v>Central Hospital</v>
      </c>
      <c r="O194" s="52">
        <v>45184</v>
      </c>
      <c r="P194" s="53">
        <v>0.34375</v>
      </c>
      <c r="Q194" s="51" t="s">
        <v>10</v>
      </c>
      <c r="R194" s="51" t="s">
        <v>19</v>
      </c>
      <c r="S194" s="51" t="str">
        <f>VLOOKUP(appointments7[[#This Row],[Appointment_ID]],Treatments!$A:$F,2,FALSE)</f>
        <v>T193</v>
      </c>
      <c r="T194" s="51" t="str">
        <f>VLOOKUP(appointments7[[#This Row],[Appointment_ID]],Treatments!$A:$F,3,FALSE)</f>
        <v>Physiotherapy</v>
      </c>
      <c r="U194" s="54">
        <f>VLOOKUP(treatments[[#This Row],[appointment_id]],Treatments!$A:$F,5,FALSE)</f>
        <v>2446.2399999999998</v>
      </c>
      <c r="V194" s="52">
        <f>VLOOKUP(appointments7[[#This Row],[Appointment_ID]],Treatments!$A:$F,6,FALSE)</f>
        <v>45184</v>
      </c>
      <c r="W194" s="52" t="str">
        <f>VLOOKUP(appointments7[[#This Row],[Patient_ID]],Billing!$A:$G,2,FALSE)</f>
        <v>B046</v>
      </c>
      <c r="X194" s="52">
        <f>VLOOKUP(appointments7[[#This Row],[Patient_ID]],Billing!$A:$H,4,FALSE)</f>
        <v>45280</v>
      </c>
      <c r="Y194" s="54">
        <f>VLOOKUP(appointments7[[#This Row],[Patient_ID]],Billing!$A:$G,5,FALSE)</f>
        <v>1526.36</v>
      </c>
      <c r="Z194" s="54" t="str">
        <f>VLOOKUP(appointments7[[#This Row],[Patient_ID]],Billing!$A:$G,6,FALSE)</f>
        <v>Cash</v>
      </c>
      <c r="AA194" s="52" t="str">
        <f>VLOOKUP(appointments7[[#This Row],[Patient_ID]],Billing!$A:$G,7,FALSE)</f>
        <v>Paid</v>
      </c>
      <c r="AB194" s="2"/>
      <c r="AC194" s="2"/>
    </row>
    <row r="195" spans="1:29" x14ac:dyDescent="0.4">
      <c r="A195" s="51" t="s">
        <v>267</v>
      </c>
      <c r="B195" s="51" t="s">
        <v>154</v>
      </c>
      <c r="C195" s="51" t="s">
        <v>903</v>
      </c>
      <c r="D195" s="51" t="str">
        <f>VLOOKUP(appointments7[[#This Row],[Patient_ID]],Patients!$A:$K,4,FALSE)</f>
        <v>F</v>
      </c>
      <c r="E195" s="52">
        <f>VLOOKUP(appointments7[[#This Row],[Patient_ID]],Patients!$A:$K,5,FALSE)</f>
        <v>27946</v>
      </c>
      <c r="F195" s="51">
        <f>VLOOKUP(appointments7[[#This Row],[Patient_ID]],Patients!$A:$K,6,FALSE)</f>
        <v>7090558393</v>
      </c>
      <c r="G195" s="51" t="str">
        <f>VLOOKUP(appointments7[[#This Row],[Patient_ID]],Patients!$A:$K,7,FALSE)</f>
        <v>456 Oak Ave</v>
      </c>
      <c r="H195" s="52">
        <f>VLOOKUP(appointments7[[#This Row],[Patient_ID]],Patients!$A:$K,8,FALSE)</f>
        <v>44341</v>
      </c>
      <c r="I195" s="51" t="str">
        <f>VLOOKUP(appointments7[[#This Row],[Patient_ID]],Patients!$A:$K,11,FALSE)</f>
        <v>david.davis@mail.com</v>
      </c>
      <c r="J195" s="51" t="s">
        <v>48</v>
      </c>
      <c r="K195" s="51" t="s">
        <v>913</v>
      </c>
      <c r="L195" s="51" t="str">
        <f>VLOOKUP(appointments7[[#This Row],[Doctor_ID]],Doctors!$A:$H,4,FALSE)</f>
        <v>Pediatrics</v>
      </c>
      <c r="M195" s="51">
        <f>VLOOKUP(appointments7[[#This Row],[Doctor_ID]],Doctors!$A:$H,5,FALSE)</f>
        <v>9004382050</v>
      </c>
      <c r="N195" s="51" t="str">
        <f>VLOOKUP(appointments7[[#This Row],[Doctor_ID]],Doctors!$A:$H,7,FALSE)</f>
        <v>Eastside Clinic</v>
      </c>
      <c r="O195" s="52">
        <v>45022</v>
      </c>
      <c r="P195" s="53">
        <v>0.53125</v>
      </c>
      <c r="Q195" s="51" t="s">
        <v>10</v>
      </c>
      <c r="R195" s="51" t="s">
        <v>11</v>
      </c>
      <c r="S195" s="51" t="str">
        <f>VLOOKUP(appointments7[[#This Row],[Appointment_ID]],Treatments!$A:$F,2,FALSE)</f>
        <v>T194</v>
      </c>
      <c r="T195" s="51" t="str">
        <f>VLOOKUP(appointments7[[#This Row],[Appointment_ID]],Treatments!$A:$F,3,FALSE)</f>
        <v>Physiotherapy</v>
      </c>
      <c r="U195" s="54">
        <f>VLOOKUP(treatments[[#This Row],[appointment_id]],Treatments!$A:$F,5,FALSE)</f>
        <v>1903.17</v>
      </c>
      <c r="V195" s="52">
        <f>VLOOKUP(appointments7[[#This Row],[Appointment_ID]],Treatments!$A:$F,6,FALSE)</f>
        <v>45022</v>
      </c>
      <c r="W195" s="52" t="str">
        <f>VLOOKUP(appointments7[[#This Row],[Patient_ID]],Billing!$A:$G,2,FALSE)</f>
        <v>B088</v>
      </c>
      <c r="X195" s="52">
        <f>VLOOKUP(appointments7[[#This Row],[Patient_ID]],Billing!$A:$H,4,FALSE)</f>
        <v>45048</v>
      </c>
      <c r="Y195" s="54">
        <f>VLOOKUP(appointments7[[#This Row],[Patient_ID]],Billing!$A:$G,5,FALSE)</f>
        <v>1733.72</v>
      </c>
      <c r="Z195" s="54" t="str">
        <f>VLOOKUP(appointments7[[#This Row],[Patient_ID]],Billing!$A:$G,6,FALSE)</f>
        <v>Cash</v>
      </c>
      <c r="AA195" s="52" t="str">
        <f>VLOOKUP(appointments7[[#This Row],[Patient_ID]],Billing!$A:$G,7,FALSE)</f>
        <v>Paid</v>
      </c>
      <c r="AB195" s="2"/>
      <c r="AC195" s="2"/>
    </row>
    <row r="196" spans="1:29" x14ac:dyDescent="0.4">
      <c r="A196" s="51" t="s">
        <v>268</v>
      </c>
      <c r="B196" s="51" t="s">
        <v>17</v>
      </c>
      <c r="C196" s="51" t="s">
        <v>872</v>
      </c>
      <c r="D196" s="51" t="str">
        <f>VLOOKUP(appointments7[[#This Row],[Patient_ID]],Patients!$A:$K,4,FALSE)</f>
        <v>M</v>
      </c>
      <c r="E196" s="52">
        <f>VLOOKUP(appointments7[[#This Row],[Patient_ID]],Patients!$A:$K,5,FALSE)</f>
        <v>30399</v>
      </c>
      <c r="F196" s="51">
        <f>VLOOKUP(appointments7[[#This Row],[Patient_ID]],Patients!$A:$K,6,FALSE)</f>
        <v>8720989381</v>
      </c>
      <c r="G196" s="51" t="str">
        <f>VLOOKUP(appointments7[[#This Row],[Patient_ID]],Patients!$A:$K,7,FALSE)</f>
        <v>123 Elm St</v>
      </c>
      <c r="H196" s="52">
        <f>VLOOKUP(appointments7[[#This Row],[Patient_ID]],Patients!$A:$K,8,FALSE)</f>
        <v>45096</v>
      </c>
      <c r="I196" s="51" t="str">
        <f>VLOOKUP(appointments7[[#This Row],[Patient_ID]],Patients!$A:$K,11,FALSE)</f>
        <v>emily.miller@mail.com</v>
      </c>
      <c r="J196" s="51" t="s">
        <v>35</v>
      </c>
      <c r="K196" s="51" t="s">
        <v>912</v>
      </c>
      <c r="L196" s="51" t="str">
        <f>VLOOKUP(appointments7[[#This Row],[Doctor_ID]],Doctors!$A:$H,4,FALSE)</f>
        <v>Oncology</v>
      </c>
      <c r="M196" s="51">
        <f>VLOOKUP(appointments7[[#This Row],[Doctor_ID]],Doctors!$A:$H,5,FALSE)</f>
        <v>6176383634</v>
      </c>
      <c r="N196" s="51" t="str">
        <f>VLOOKUP(appointments7[[#This Row],[Doctor_ID]],Doctors!$A:$H,7,FALSE)</f>
        <v>Eastside Clinic</v>
      </c>
      <c r="O196" s="52">
        <v>45157</v>
      </c>
      <c r="P196" s="53">
        <v>0.71875</v>
      </c>
      <c r="Q196" s="51" t="s">
        <v>29</v>
      </c>
      <c r="R196" s="51" t="s">
        <v>11</v>
      </c>
      <c r="S196" s="51" t="str">
        <f>VLOOKUP(appointments7[[#This Row],[Appointment_ID]],Treatments!$A:$F,2,FALSE)</f>
        <v>T195</v>
      </c>
      <c r="T196" s="51" t="str">
        <f>VLOOKUP(appointments7[[#This Row],[Appointment_ID]],Treatments!$A:$F,3,FALSE)</f>
        <v>ECG</v>
      </c>
      <c r="U196" s="54">
        <f>VLOOKUP(treatments[[#This Row],[appointment_id]],Treatments!$A:$F,5,FALSE)</f>
        <v>2777.64</v>
      </c>
      <c r="V196" s="52">
        <f>VLOOKUP(appointments7[[#This Row],[Appointment_ID]],Treatments!$A:$F,6,FALSE)</f>
        <v>45157</v>
      </c>
      <c r="W196" s="52" t="str">
        <f>VLOOKUP(appointments7[[#This Row],[Patient_ID]],Billing!$A:$G,2,FALSE)</f>
        <v>B003</v>
      </c>
      <c r="X196" s="52">
        <f>VLOOKUP(appointments7[[#This Row],[Patient_ID]],Billing!$A:$H,4,FALSE)</f>
        <v>45105</v>
      </c>
      <c r="Y196" s="54">
        <f>VLOOKUP(appointments7[[#This Row],[Patient_ID]],Billing!$A:$G,5,FALSE)</f>
        <v>3731.55</v>
      </c>
      <c r="Z196" s="54" t="str">
        <f>VLOOKUP(appointments7[[#This Row],[Patient_ID]],Billing!$A:$G,6,FALSE)</f>
        <v>Insurance</v>
      </c>
      <c r="AA196" s="52" t="str">
        <f>VLOOKUP(appointments7[[#This Row],[Patient_ID]],Billing!$A:$G,7,FALSE)</f>
        <v>Paid</v>
      </c>
      <c r="AB196" s="2"/>
      <c r="AC196" s="2"/>
    </row>
    <row r="197" spans="1:29" x14ac:dyDescent="0.4">
      <c r="A197" s="51" t="s">
        <v>269</v>
      </c>
      <c r="B197" s="51" t="s">
        <v>28</v>
      </c>
      <c r="C197" s="51" t="s">
        <v>875</v>
      </c>
      <c r="D197" s="51" t="str">
        <f>VLOOKUP(appointments7[[#This Row],[Patient_ID]],Patients!$A:$K,4,FALSE)</f>
        <v>F</v>
      </c>
      <c r="E197" s="52">
        <f>VLOOKUP(appointments7[[#This Row],[Patient_ID]],Patients!$A:$K,5,FALSE)</f>
        <v>24222</v>
      </c>
      <c r="F197" s="51">
        <f>VLOOKUP(appointments7[[#This Row],[Patient_ID]],Patients!$A:$K,6,FALSE)</f>
        <v>7579616535</v>
      </c>
      <c r="G197" s="51" t="str">
        <f>VLOOKUP(appointments7[[#This Row],[Patient_ID]],Patients!$A:$K,7,FALSE)</f>
        <v>321 Maple Dr</v>
      </c>
      <c r="H197" s="52">
        <f>VLOOKUP(appointments7[[#This Row],[Patient_ID]],Patients!$A:$K,8,FALSE)</f>
        <v>44219</v>
      </c>
      <c r="I197" s="51" t="str">
        <f>VLOOKUP(appointments7[[#This Row],[Patient_ID]],Patients!$A:$K,11,FALSE)</f>
        <v>linda.miller@mail.com</v>
      </c>
      <c r="J197" s="51" t="s">
        <v>22</v>
      </c>
      <c r="K197" s="51" t="s">
        <v>910</v>
      </c>
      <c r="L197" s="51" t="str">
        <f>VLOOKUP(appointments7[[#This Row],[Doctor_ID]],Doctors!$A:$H,4,FALSE)</f>
        <v>Pediatrics</v>
      </c>
      <c r="M197" s="51">
        <f>VLOOKUP(appointments7[[#This Row],[Doctor_ID]],Doctors!$A:$H,5,FALSE)</f>
        <v>6570137231</v>
      </c>
      <c r="N197" s="51" t="str">
        <f>VLOOKUP(appointments7[[#This Row],[Doctor_ID]],Doctors!$A:$H,7,FALSE)</f>
        <v>Central Hospital</v>
      </c>
      <c r="O197" s="52">
        <v>45225</v>
      </c>
      <c r="P197" s="53">
        <v>0.40625</v>
      </c>
      <c r="Q197" s="51" t="s">
        <v>29</v>
      </c>
      <c r="R197" s="51" t="s">
        <v>19</v>
      </c>
      <c r="S197" s="51" t="str">
        <f>VLOOKUP(appointments7[[#This Row],[Appointment_ID]],Treatments!$A:$F,2,FALSE)</f>
        <v>T196</v>
      </c>
      <c r="T197" s="51" t="str">
        <f>VLOOKUP(appointments7[[#This Row],[Appointment_ID]],Treatments!$A:$F,3,FALSE)</f>
        <v>Chemotherapy</v>
      </c>
      <c r="U197" s="54">
        <f>VLOOKUP(treatments[[#This Row],[appointment_id]],Treatments!$A:$F,5,FALSE)</f>
        <v>2477.8000000000002</v>
      </c>
      <c r="V197" s="52">
        <f>VLOOKUP(appointments7[[#This Row],[Appointment_ID]],Treatments!$A:$F,6,FALSE)</f>
        <v>45225</v>
      </c>
      <c r="W197" s="52" t="str">
        <f>VLOOKUP(appointments7[[#This Row],[Patient_ID]],Billing!$A:$G,2,FALSE)</f>
        <v>B006</v>
      </c>
      <c r="X197" s="52">
        <f>VLOOKUP(appointments7[[#This Row],[Patient_ID]],Billing!$A:$H,4,FALSE)</f>
        <v>45096</v>
      </c>
      <c r="Y197" s="54">
        <f>VLOOKUP(appointments7[[#This Row],[Patient_ID]],Billing!$A:$G,5,FALSE)</f>
        <v>1381</v>
      </c>
      <c r="Z197" s="54" t="str">
        <f>VLOOKUP(appointments7[[#This Row],[Patient_ID]],Billing!$A:$G,6,FALSE)</f>
        <v>Insurance</v>
      </c>
      <c r="AA197" s="52" t="str">
        <f>VLOOKUP(appointments7[[#This Row],[Patient_ID]],Billing!$A:$G,7,FALSE)</f>
        <v>Pending</v>
      </c>
      <c r="AB197" s="2"/>
      <c r="AC197" s="2"/>
    </row>
    <row r="198" spans="1:29" x14ac:dyDescent="0.4">
      <c r="A198" s="51" t="s">
        <v>270</v>
      </c>
      <c r="B198" s="51" t="s">
        <v>31</v>
      </c>
      <c r="C198" s="51" t="s">
        <v>876</v>
      </c>
      <c r="D198" s="51" t="str">
        <f>VLOOKUP(appointments7[[#This Row],[Patient_ID]],Patients!$A:$K,4,FALSE)</f>
        <v>F</v>
      </c>
      <c r="E198" s="52">
        <f>VLOOKUP(appointments7[[#This Row],[Patient_ID]],Patients!$A:$K,5,FALSE)</f>
        <v>20244</v>
      </c>
      <c r="F198" s="51">
        <f>VLOOKUP(appointments7[[#This Row],[Patient_ID]],Patients!$A:$K,6,FALSE)</f>
        <v>6939585183</v>
      </c>
      <c r="G198" s="51" t="str">
        <f>VLOOKUP(appointments7[[#This Row],[Patient_ID]],Patients!$A:$K,7,FALSE)</f>
        <v>789 Pine Rd</v>
      </c>
      <c r="H198" s="52">
        <f>VLOOKUP(appointments7[[#This Row],[Patient_ID]],Patients!$A:$K,8,FALSE)</f>
        <v>44735</v>
      </c>
      <c r="I198" s="51" t="str">
        <f>VLOOKUP(appointments7[[#This Row],[Patient_ID]],Patients!$A:$K,11,FALSE)</f>
        <v>david.williams@mail.com</v>
      </c>
      <c r="J198" s="51" t="s">
        <v>74</v>
      </c>
      <c r="K198" s="51" t="s">
        <v>915</v>
      </c>
      <c r="L198" s="51" t="str">
        <f>VLOOKUP(appointments7[[#This Row],[Doctor_ID]],Doctors!$A:$H,4,FALSE)</f>
        <v>Dermatology</v>
      </c>
      <c r="M198" s="51">
        <f>VLOOKUP(appointments7[[#This Row],[Doctor_ID]],Doctors!$A:$H,5,FALSE)</f>
        <v>9118538547</v>
      </c>
      <c r="N198" s="51" t="str">
        <f>VLOOKUP(appointments7[[#This Row],[Doctor_ID]],Doctors!$A:$H,7,FALSE)</f>
        <v>Central Hospital</v>
      </c>
      <c r="O198" s="52">
        <v>45017</v>
      </c>
      <c r="P198" s="53">
        <v>0.5625</v>
      </c>
      <c r="Q198" s="51" t="s">
        <v>26</v>
      </c>
      <c r="R198" s="51" t="s">
        <v>15</v>
      </c>
      <c r="S198" s="51" t="str">
        <f>VLOOKUP(appointments7[[#This Row],[Appointment_ID]],Treatments!$A:$F,2,FALSE)</f>
        <v>T197</v>
      </c>
      <c r="T198" s="51" t="str">
        <f>VLOOKUP(appointments7[[#This Row],[Appointment_ID]],Treatments!$A:$F,3,FALSE)</f>
        <v>Physiotherapy</v>
      </c>
      <c r="U198" s="54">
        <f>VLOOKUP(treatments[[#This Row],[appointment_id]],Treatments!$A:$F,5,FALSE)</f>
        <v>975.49</v>
      </c>
      <c r="V198" s="52">
        <f>VLOOKUP(appointments7[[#This Row],[Appointment_ID]],Treatments!$A:$F,6,FALSE)</f>
        <v>45017</v>
      </c>
      <c r="W198" s="52" t="str">
        <f>VLOOKUP(appointments7[[#This Row],[Patient_ID]],Billing!$A:$G,2,FALSE)</f>
        <v>B007</v>
      </c>
      <c r="X198" s="52">
        <f>VLOOKUP(appointments7[[#This Row],[Patient_ID]],Billing!$A:$H,4,FALSE)</f>
        <v>45025</v>
      </c>
      <c r="Y198" s="54">
        <f>VLOOKUP(appointments7[[#This Row],[Patient_ID]],Billing!$A:$G,5,FALSE)</f>
        <v>534.03</v>
      </c>
      <c r="Z198" s="54" t="str">
        <f>VLOOKUP(appointments7[[#This Row],[Patient_ID]],Billing!$A:$G,6,FALSE)</f>
        <v>Cash</v>
      </c>
      <c r="AA198" s="52" t="str">
        <f>VLOOKUP(appointments7[[#This Row],[Patient_ID]],Billing!$A:$G,7,FALSE)</f>
        <v>Failed</v>
      </c>
      <c r="AB198" s="2"/>
      <c r="AC198" s="2"/>
    </row>
    <row r="199" spans="1:29" x14ac:dyDescent="0.4">
      <c r="A199" s="51" t="s">
        <v>271</v>
      </c>
      <c r="B199" s="51" t="s">
        <v>43</v>
      </c>
      <c r="C199" s="51" t="s">
        <v>880</v>
      </c>
      <c r="D199" s="51" t="str">
        <f>VLOOKUP(appointments7[[#This Row],[Patient_ID]],Patients!$A:$K,4,FALSE)</f>
        <v>M</v>
      </c>
      <c r="E199" s="52">
        <f>VLOOKUP(appointments7[[#This Row],[Patient_ID]],Patients!$A:$K,5,FALSE)</f>
        <v>20219</v>
      </c>
      <c r="F199" s="51">
        <f>VLOOKUP(appointments7[[#This Row],[Patient_ID]],Patients!$A:$K,6,FALSE)</f>
        <v>6221099573</v>
      </c>
      <c r="G199" s="51" t="str">
        <f>VLOOKUP(appointments7[[#This Row],[Patient_ID]],Patients!$A:$K,7,FALSE)</f>
        <v>321 Maple Dr</v>
      </c>
      <c r="H199" s="52">
        <f>VLOOKUP(appointments7[[#This Row],[Patient_ID]],Patients!$A:$K,8,FALSE)</f>
        <v>44327</v>
      </c>
      <c r="I199" s="51" t="str">
        <f>VLOOKUP(appointments7[[#This Row],[Patient_ID]],Patients!$A:$K,11,FALSE)</f>
        <v>john.brown@mail.com</v>
      </c>
      <c r="J199" s="51" t="s">
        <v>22</v>
      </c>
      <c r="K199" s="51" t="s">
        <v>910</v>
      </c>
      <c r="L199" s="51" t="str">
        <f>VLOOKUP(appointments7[[#This Row],[Doctor_ID]],Doctors!$A:$H,4,FALSE)</f>
        <v>Pediatrics</v>
      </c>
      <c r="M199" s="51">
        <f>VLOOKUP(appointments7[[#This Row],[Doctor_ID]],Doctors!$A:$H,5,FALSE)</f>
        <v>6570137231</v>
      </c>
      <c r="N199" s="51" t="str">
        <f>VLOOKUP(appointments7[[#This Row],[Doctor_ID]],Doctors!$A:$H,7,FALSE)</f>
        <v>Central Hospital</v>
      </c>
      <c r="O199" s="52">
        <v>45061</v>
      </c>
      <c r="P199" s="53">
        <v>0.35416666666666674</v>
      </c>
      <c r="Q199" s="51" t="s">
        <v>10</v>
      </c>
      <c r="R199" s="51" t="s">
        <v>15</v>
      </c>
      <c r="S199" s="51" t="str">
        <f>VLOOKUP(appointments7[[#This Row],[Appointment_ID]],Treatments!$A:$F,2,FALSE)</f>
        <v>T198</v>
      </c>
      <c r="T199" s="51" t="str">
        <f>VLOOKUP(appointments7[[#This Row],[Appointment_ID]],Treatments!$A:$F,3,FALSE)</f>
        <v>ECG</v>
      </c>
      <c r="U199" s="54">
        <f>VLOOKUP(treatments[[#This Row],[appointment_id]],Treatments!$A:$F,5,FALSE)</f>
        <v>3383.72</v>
      </c>
      <c r="V199" s="52">
        <f>VLOOKUP(appointments7[[#This Row],[Appointment_ID]],Treatments!$A:$F,6,FALSE)</f>
        <v>45061</v>
      </c>
      <c r="W199" s="52" t="str">
        <f>VLOOKUP(appointments7[[#This Row],[Patient_ID]],Billing!$A:$G,2,FALSE)</f>
        <v>B011</v>
      </c>
      <c r="X199" s="52">
        <f>VLOOKUP(appointments7[[#This Row],[Patient_ID]],Billing!$A:$H,4,FALSE)</f>
        <v>45242</v>
      </c>
      <c r="Y199" s="54">
        <f>VLOOKUP(appointments7[[#This Row],[Patient_ID]],Billing!$A:$G,5,FALSE)</f>
        <v>4671.66</v>
      </c>
      <c r="Z199" s="54" t="str">
        <f>VLOOKUP(appointments7[[#This Row],[Patient_ID]],Billing!$A:$G,6,FALSE)</f>
        <v>Cash</v>
      </c>
      <c r="AA199" s="52" t="str">
        <f>VLOOKUP(appointments7[[#This Row],[Patient_ID]],Billing!$A:$G,7,FALSE)</f>
        <v>Failed</v>
      </c>
      <c r="AB199" s="2"/>
      <c r="AC199" s="2"/>
    </row>
    <row r="200" spans="1:29" x14ac:dyDescent="0.4">
      <c r="A200" s="51" t="s">
        <v>272</v>
      </c>
      <c r="B200" s="51" t="s">
        <v>151</v>
      </c>
      <c r="C200" s="51" t="s">
        <v>902</v>
      </c>
      <c r="D200" s="51" t="str">
        <f>VLOOKUP(appointments7[[#This Row],[Patient_ID]],Patients!$A:$K,4,FALSE)</f>
        <v>M</v>
      </c>
      <c r="E200" s="52">
        <f>VLOOKUP(appointments7[[#This Row],[Patient_ID]],Patients!$A:$K,5,FALSE)</f>
        <v>33359</v>
      </c>
      <c r="F200" s="51">
        <f>VLOOKUP(appointments7[[#This Row],[Patient_ID]],Patients!$A:$K,6,FALSE)</f>
        <v>6158428240</v>
      </c>
      <c r="G200" s="51" t="str">
        <f>VLOOKUP(appointments7[[#This Row],[Patient_ID]],Patients!$A:$K,7,FALSE)</f>
        <v>456 Oak Ave</v>
      </c>
      <c r="H200" s="52">
        <f>VLOOKUP(appointments7[[#This Row],[Patient_ID]],Patients!$A:$K,8,FALSE)</f>
        <v>44830</v>
      </c>
      <c r="I200" s="51" t="str">
        <f>VLOOKUP(appointments7[[#This Row],[Patient_ID]],Patients!$A:$K,11,FALSE)</f>
        <v>jane.jones@mail.com</v>
      </c>
      <c r="J200" s="51" t="s">
        <v>59</v>
      </c>
      <c r="K200" s="51" t="s">
        <v>914</v>
      </c>
      <c r="L200" s="51" t="str">
        <f>VLOOKUP(appointments7[[#This Row],[Doctor_ID]],Doctors!$A:$H,4,FALSE)</f>
        <v>Dermatology</v>
      </c>
      <c r="M200" s="51">
        <f>VLOOKUP(appointments7[[#This Row],[Doctor_ID]],Doctors!$A:$H,5,FALSE)</f>
        <v>8322010158</v>
      </c>
      <c r="N200" s="51" t="str">
        <f>VLOOKUP(appointments7[[#This Row],[Doctor_ID]],Doctors!$A:$H,7,FALSE)</f>
        <v>Westside Clinic</v>
      </c>
      <c r="O200" s="52">
        <v>45047</v>
      </c>
      <c r="P200" s="53">
        <v>0.53125</v>
      </c>
      <c r="Q200" s="51" t="s">
        <v>38</v>
      </c>
      <c r="R200" s="51" t="s">
        <v>41</v>
      </c>
      <c r="S200" s="51" t="str">
        <f>VLOOKUP(appointments7[[#This Row],[Appointment_ID]],Treatments!$A:$F,2,FALSE)</f>
        <v>T199</v>
      </c>
      <c r="T200" s="51" t="str">
        <f>VLOOKUP(appointments7[[#This Row],[Appointment_ID]],Treatments!$A:$F,3,FALSE)</f>
        <v>Chemotherapy</v>
      </c>
      <c r="U200" s="54">
        <f>VLOOKUP(treatments[[#This Row],[appointment_id]],Treatments!$A:$F,5,FALSE)</f>
        <v>1472.17</v>
      </c>
      <c r="V200" s="52">
        <f>VLOOKUP(appointments7[[#This Row],[Appointment_ID]],Treatments!$A:$F,6,FALSE)</f>
        <v>45047</v>
      </c>
      <c r="W200" s="52" t="str">
        <f>VLOOKUP(appointments7[[#This Row],[Patient_ID]],Billing!$A:$G,2,FALSE)</f>
        <v>B086</v>
      </c>
      <c r="X200" s="52">
        <f>VLOOKUP(appointments7[[#This Row],[Patient_ID]],Billing!$A:$H,4,FALSE)</f>
        <v>45228</v>
      </c>
      <c r="Y200" s="54">
        <f>VLOOKUP(appointments7[[#This Row],[Patient_ID]],Billing!$A:$G,5,FALSE)</f>
        <v>3759.52</v>
      </c>
      <c r="Z200" s="54" t="str">
        <f>VLOOKUP(appointments7[[#This Row],[Patient_ID]],Billing!$A:$G,6,FALSE)</f>
        <v>Cash</v>
      </c>
      <c r="AA200" s="52" t="str">
        <f>VLOOKUP(appointments7[[#This Row],[Patient_ID]],Billing!$A:$G,7,FALSE)</f>
        <v>Pending</v>
      </c>
      <c r="AB200" s="2"/>
      <c r="AC200" s="2"/>
    </row>
    <row r="201" spans="1:29" x14ac:dyDescent="0.4">
      <c r="A201" s="51" t="s">
        <v>273</v>
      </c>
      <c r="B201" s="51" t="s">
        <v>163</v>
      </c>
      <c r="C201" s="51" t="s">
        <v>904</v>
      </c>
      <c r="D201" s="51" t="str">
        <f>VLOOKUP(appointments7[[#This Row],[Patient_ID]],Patients!$A:$K,4,FALSE)</f>
        <v>F</v>
      </c>
      <c r="E201" s="52">
        <f>VLOOKUP(appointments7[[#This Row],[Patient_ID]],Patients!$A:$K,5,FALSE)</f>
        <v>32667</v>
      </c>
      <c r="F201" s="51">
        <f>VLOOKUP(appointments7[[#This Row],[Patient_ID]],Patients!$A:$K,6,FALSE)</f>
        <v>6278710077</v>
      </c>
      <c r="G201" s="51" t="str">
        <f>VLOOKUP(appointments7[[#This Row],[Patient_ID]],Patients!$A:$K,7,FALSE)</f>
        <v>789 Pine Rd</v>
      </c>
      <c r="H201" s="52">
        <f>VLOOKUP(appointments7[[#This Row],[Patient_ID]],Patients!$A:$K,8,FALSE)</f>
        <v>44555</v>
      </c>
      <c r="I201" s="51" t="str">
        <f>VLOOKUP(appointments7[[#This Row],[Patient_ID]],Patients!$A:$K,11,FALSE)</f>
        <v>alex.johnson@mail.com</v>
      </c>
      <c r="J201" s="51" t="s">
        <v>74</v>
      </c>
      <c r="K201" s="51" t="s">
        <v>915</v>
      </c>
      <c r="L201" s="51" t="str">
        <f>VLOOKUP(appointments7[[#This Row],[Doctor_ID]],Doctors!$A:$H,4,FALSE)</f>
        <v>Dermatology</v>
      </c>
      <c r="M201" s="51">
        <f>VLOOKUP(appointments7[[#This Row],[Doctor_ID]],Doctors!$A:$H,5,FALSE)</f>
        <v>9118538547</v>
      </c>
      <c r="N201" s="51" t="str">
        <f>VLOOKUP(appointments7[[#This Row],[Doctor_ID]],Doctors!$A:$H,7,FALSE)</f>
        <v>Central Hospital</v>
      </c>
      <c r="O201" s="52">
        <v>45290</v>
      </c>
      <c r="P201" s="53">
        <v>0.42708333333333326</v>
      </c>
      <c r="Q201" s="51" t="s">
        <v>18</v>
      </c>
      <c r="R201" s="51" t="s">
        <v>19</v>
      </c>
      <c r="S201" s="51" t="str">
        <f>VLOOKUP(appointments7[[#This Row],[Appointment_ID]],Treatments!$A:$F,2,FALSE)</f>
        <v>T200</v>
      </c>
      <c r="T201" s="51" t="str">
        <f>VLOOKUP(appointments7[[#This Row],[Appointment_ID]],Treatments!$A:$F,3,FALSE)</f>
        <v>X-Ray</v>
      </c>
      <c r="U201" s="54">
        <f>VLOOKUP(treatments[[#This Row],[appointment_id]],Treatments!$A:$F,5,FALSE)</f>
        <v>3288.15</v>
      </c>
      <c r="V201" s="52">
        <f>VLOOKUP(appointments7[[#This Row],[Appointment_ID]],Treatments!$A:$F,6,FALSE)</f>
        <v>45290</v>
      </c>
      <c r="W201" s="52" t="str">
        <f>VLOOKUP(appointments7[[#This Row],[Patient_ID]],Billing!$A:$G,2,FALSE)</f>
        <v>B095</v>
      </c>
      <c r="X201" s="52">
        <f>VLOOKUP(appointments7[[#This Row],[Patient_ID]],Billing!$A:$H,4,FALSE)</f>
        <v>45055</v>
      </c>
      <c r="Y201" s="54">
        <f>VLOOKUP(appointments7[[#This Row],[Patient_ID]],Billing!$A:$G,5,FALSE)</f>
        <v>2097.48</v>
      </c>
      <c r="Z201" s="54" t="str">
        <f>VLOOKUP(appointments7[[#This Row],[Patient_ID]],Billing!$A:$G,6,FALSE)</f>
        <v>Cash</v>
      </c>
      <c r="AA201" s="52" t="str">
        <f>VLOOKUP(appointments7[[#This Row],[Patient_ID]],Billing!$A:$G,7,FALSE)</f>
        <v>Failed</v>
      </c>
      <c r="AB201" s="2"/>
      <c r="AC201" s="2"/>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D770-632E-49CE-85BD-A0F96E1E21C7}">
  <dimension ref="B8:E18"/>
  <sheetViews>
    <sheetView showGridLines="0" zoomScale="88" zoomScaleNormal="88" workbookViewId="0">
      <selection activeCell="E21" sqref="E21"/>
    </sheetView>
  </sheetViews>
  <sheetFormatPr defaultRowHeight="14.6" x14ac:dyDescent="0.4"/>
  <cols>
    <col min="1" max="1" width="9.23046875" style="7"/>
    <col min="2" max="2" width="7.765625" style="7" bestFit="1" customWidth="1"/>
    <col min="3" max="3" width="31.3046875" style="7" bestFit="1" customWidth="1"/>
    <col min="4" max="4" width="75.23046875" style="7" bestFit="1" customWidth="1"/>
    <col min="5" max="5" width="78.765625" style="7" bestFit="1" customWidth="1"/>
    <col min="6" max="6" width="78.53515625" style="7" bestFit="1" customWidth="1"/>
    <col min="7" max="16384" width="9.23046875" style="7"/>
  </cols>
  <sheetData>
    <row r="8" spans="2:5" x14ac:dyDescent="0.4">
      <c r="D8" s="14"/>
    </row>
    <row r="9" spans="2:5" ht="17.600000000000001" x14ac:dyDescent="0.4">
      <c r="B9" s="15" t="s">
        <v>917</v>
      </c>
      <c r="C9" s="16" t="s">
        <v>918</v>
      </c>
      <c r="D9" s="16" t="s">
        <v>919</v>
      </c>
      <c r="E9" s="16" t="s">
        <v>963</v>
      </c>
    </row>
    <row r="10" spans="2:5" ht="36.9" x14ac:dyDescent="0.4">
      <c r="B10" s="17">
        <v>1</v>
      </c>
      <c r="C10" s="18" t="s">
        <v>921</v>
      </c>
      <c r="D10" s="19" t="s">
        <v>929</v>
      </c>
      <c r="E10" s="23" t="s">
        <v>930</v>
      </c>
    </row>
    <row r="11" spans="2:5" ht="18.45" x14ac:dyDescent="0.4">
      <c r="B11" s="20">
        <v>2</v>
      </c>
      <c r="C11" s="21" t="s">
        <v>921</v>
      </c>
      <c r="D11" s="22" t="s">
        <v>922</v>
      </c>
      <c r="E11" s="23" t="s">
        <v>931</v>
      </c>
    </row>
    <row r="12" spans="2:5" ht="36.9" x14ac:dyDescent="0.4">
      <c r="B12" s="17">
        <v>3</v>
      </c>
      <c r="C12" s="18" t="s">
        <v>920</v>
      </c>
      <c r="D12" s="19" t="s">
        <v>964</v>
      </c>
      <c r="E12" s="23" t="s">
        <v>932</v>
      </c>
    </row>
    <row r="13" spans="2:5" ht="36.9" x14ac:dyDescent="0.4">
      <c r="B13" s="20">
        <v>4</v>
      </c>
      <c r="C13" s="23" t="s">
        <v>920</v>
      </c>
      <c r="D13" s="24" t="s">
        <v>965</v>
      </c>
      <c r="E13" s="24" t="s">
        <v>933</v>
      </c>
    </row>
    <row r="14" spans="2:5" ht="18.45" x14ac:dyDescent="0.4">
      <c r="B14" s="17">
        <v>5</v>
      </c>
      <c r="C14" s="18" t="s">
        <v>920</v>
      </c>
      <c r="D14" s="19" t="s">
        <v>966</v>
      </c>
      <c r="E14" s="23" t="s">
        <v>934</v>
      </c>
    </row>
    <row r="15" spans="2:5" ht="18.45" x14ac:dyDescent="0.4">
      <c r="B15" s="20">
        <v>6</v>
      </c>
      <c r="C15" s="23" t="s">
        <v>920</v>
      </c>
      <c r="D15" s="24" t="s">
        <v>967</v>
      </c>
      <c r="E15" s="23" t="s">
        <v>935</v>
      </c>
    </row>
    <row r="16" spans="2:5" ht="36.9" x14ac:dyDescent="0.4">
      <c r="B16" s="17">
        <v>7</v>
      </c>
      <c r="C16" s="18" t="s">
        <v>920</v>
      </c>
      <c r="D16" s="19" t="s">
        <v>968</v>
      </c>
      <c r="E16" s="23" t="s">
        <v>936</v>
      </c>
    </row>
    <row r="17" spans="2:5" ht="36.9" x14ac:dyDescent="0.4">
      <c r="B17" s="20">
        <v>8</v>
      </c>
      <c r="C17" s="23" t="s">
        <v>920</v>
      </c>
      <c r="D17" s="24" t="s">
        <v>969</v>
      </c>
      <c r="E17" s="23" t="s">
        <v>937</v>
      </c>
    </row>
    <row r="18" spans="2:5" ht="55.3" x14ac:dyDescent="0.4">
      <c r="B18" s="25">
        <v>9</v>
      </c>
      <c r="C18" s="26" t="s">
        <v>920</v>
      </c>
      <c r="D18" s="27" t="s">
        <v>978</v>
      </c>
      <c r="E18" s="62" t="s">
        <v>938</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55BF-4C50-4CFD-AAB2-690E39F90CB8}">
  <dimension ref="B7:F24"/>
  <sheetViews>
    <sheetView showGridLines="0" workbookViewId="0">
      <selection activeCell="H20" sqref="H20"/>
    </sheetView>
  </sheetViews>
  <sheetFormatPr defaultRowHeight="14.6" x14ac:dyDescent="0.4"/>
  <cols>
    <col min="1" max="2" width="9.23046875" style="7"/>
    <col min="3" max="3" width="77.69140625" style="7" customWidth="1"/>
    <col min="4" max="16384" width="9.23046875" style="7"/>
  </cols>
  <sheetData>
    <row r="7" spans="2:6" ht="15" thickBot="1" x14ac:dyDescent="0.45"/>
    <row r="8" spans="2:6" ht="18.45" x14ac:dyDescent="0.5">
      <c r="B8" s="41">
        <v>1</v>
      </c>
      <c r="C8" s="42" t="s">
        <v>924</v>
      </c>
    </row>
    <row r="9" spans="2:6" ht="18.45" x14ac:dyDescent="0.5">
      <c r="B9" s="43">
        <v>2</v>
      </c>
      <c r="C9" s="44" t="s">
        <v>940</v>
      </c>
    </row>
    <row r="10" spans="2:6" ht="18.45" x14ac:dyDescent="0.5">
      <c r="B10" s="43">
        <v>3</v>
      </c>
      <c r="C10" s="44" t="s">
        <v>941</v>
      </c>
      <c r="D10" s="28"/>
      <c r="E10" s="28"/>
      <c r="F10" s="28"/>
    </row>
    <row r="11" spans="2:6" ht="18.45" x14ac:dyDescent="0.5">
      <c r="B11" s="43">
        <v>4</v>
      </c>
      <c r="C11" s="44" t="s">
        <v>942</v>
      </c>
      <c r="D11" s="28"/>
      <c r="E11" s="28"/>
      <c r="F11" s="28"/>
    </row>
    <row r="12" spans="2:6" ht="18.45" x14ac:dyDescent="0.5">
      <c r="B12" s="43">
        <v>5</v>
      </c>
      <c r="C12" s="44" t="s">
        <v>943</v>
      </c>
      <c r="D12" s="28"/>
      <c r="E12" s="28"/>
      <c r="F12" s="28"/>
    </row>
    <row r="13" spans="2:6" ht="18.45" x14ac:dyDescent="0.5">
      <c r="B13" s="43">
        <v>6</v>
      </c>
      <c r="C13" s="44" t="s">
        <v>944</v>
      </c>
      <c r="D13" s="28"/>
      <c r="E13" s="28"/>
      <c r="F13" s="28"/>
    </row>
    <row r="14" spans="2:6" ht="18.45" x14ac:dyDescent="0.5">
      <c r="B14" s="43">
        <v>7</v>
      </c>
      <c r="C14" s="44" t="s">
        <v>980</v>
      </c>
      <c r="D14" s="28"/>
      <c r="E14" s="28"/>
      <c r="F14" s="28"/>
    </row>
    <row r="15" spans="2:6" ht="18.45" x14ac:dyDescent="0.5">
      <c r="B15" s="43">
        <v>8</v>
      </c>
      <c r="C15" s="44" t="s">
        <v>945</v>
      </c>
      <c r="D15" s="28"/>
      <c r="E15" s="28"/>
      <c r="F15" s="28"/>
    </row>
    <row r="16" spans="2:6" ht="18.45" x14ac:dyDescent="0.5">
      <c r="B16" s="43"/>
      <c r="C16" s="44"/>
      <c r="D16" s="28"/>
      <c r="E16" s="28"/>
      <c r="F16" s="28"/>
    </row>
    <row r="17" spans="2:6" ht="18.45" x14ac:dyDescent="0.5">
      <c r="B17" s="43">
        <v>9</v>
      </c>
      <c r="C17" s="44" t="s">
        <v>953</v>
      </c>
      <c r="D17" s="28"/>
      <c r="E17" s="28"/>
      <c r="F17" s="28"/>
    </row>
    <row r="18" spans="2:6" ht="18.45" x14ac:dyDescent="0.5">
      <c r="B18" s="43">
        <v>10</v>
      </c>
      <c r="C18" s="44" t="s">
        <v>926</v>
      </c>
      <c r="D18" s="28"/>
      <c r="E18" s="28"/>
      <c r="F18" s="28"/>
    </row>
    <row r="19" spans="2:6" ht="18.45" x14ac:dyDescent="0.5">
      <c r="B19" s="43">
        <v>11</v>
      </c>
      <c r="C19" s="44" t="s">
        <v>923</v>
      </c>
      <c r="D19" s="28"/>
      <c r="E19" s="28"/>
      <c r="F19" s="28"/>
    </row>
    <row r="20" spans="2:6" ht="18.45" x14ac:dyDescent="0.5">
      <c r="B20" s="43">
        <v>12</v>
      </c>
      <c r="C20" s="44" t="s">
        <v>925</v>
      </c>
      <c r="D20" s="28"/>
      <c r="E20" s="28"/>
      <c r="F20" s="28"/>
    </row>
    <row r="21" spans="2:6" ht="18.45" x14ac:dyDescent="0.5">
      <c r="B21" s="43">
        <v>13</v>
      </c>
      <c r="C21" s="44" t="s">
        <v>927</v>
      </c>
      <c r="D21" s="28"/>
      <c r="E21" s="28"/>
      <c r="F21" s="28"/>
    </row>
    <row r="22" spans="2:6" ht="18.45" x14ac:dyDescent="0.5">
      <c r="B22" s="43">
        <v>14</v>
      </c>
      <c r="C22" s="44" t="s">
        <v>928</v>
      </c>
      <c r="D22" s="28"/>
      <c r="E22" s="28"/>
      <c r="F22" s="28"/>
    </row>
    <row r="23" spans="2:6" ht="15.45" thickBot="1" x14ac:dyDescent="0.5">
      <c r="B23" s="45"/>
      <c r="C23" s="46"/>
      <c r="D23" s="28"/>
      <c r="E23" s="28"/>
      <c r="F23" s="28"/>
    </row>
    <row r="24" spans="2:6" ht="15" x14ac:dyDescent="0.45">
      <c r="D24" s="28"/>
      <c r="E24" s="28"/>
      <c r="F24" s="2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9D8A-C1FF-452A-A9EC-639B675DCACD}">
  <dimension ref="B10:I29"/>
  <sheetViews>
    <sheetView showGridLines="0" workbookViewId="0">
      <selection activeCell="J13" sqref="J13"/>
    </sheetView>
  </sheetViews>
  <sheetFormatPr defaultRowHeight="14.6" x14ac:dyDescent="0.4"/>
  <cols>
    <col min="1" max="1" width="9.23046875" style="7"/>
    <col min="2" max="2" width="9.3046875" style="7" bestFit="1" customWidth="1"/>
    <col min="3" max="3" width="8.23046875" style="7" bestFit="1" customWidth="1"/>
    <col min="4" max="4" width="68.61328125" style="7" bestFit="1" customWidth="1"/>
    <col min="5" max="5" width="23.3046875" style="7" bestFit="1" customWidth="1"/>
    <col min="6" max="6" width="17.61328125" style="7" bestFit="1" customWidth="1"/>
    <col min="7" max="7" width="20.15234375" style="7" bestFit="1" customWidth="1"/>
    <col min="8" max="16384" width="9.23046875" style="7"/>
  </cols>
  <sheetData>
    <row r="10" spans="3:9" ht="18.45" x14ac:dyDescent="0.5">
      <c r="C10" s="10" t="s">
        <v>939</v>
      </c>
      <c r="D10" s="10" t="s">
        <v>961</v>
      </c>
      <c r="E10" s="10" t="s">
        <v>962</v>
      </c>
      <c r="F10" s="11"/>
      <c r="G10" s="11"/>
    </row>
    <row r="11" spans="3:9" ht="20.6" x14ac:dyDescent="0.5">
      <c r="C11" s="12">
        <v>1</v>
      </c>
      <c r="D11" s="13" t="s">
        <v>924</v>
      </c>
      <c r="E11" s="36">
        <f>COUNTA(appointments7[Appointment_ID])</f>
        <v>200</v>
      </c>
      <c r="F11" s="12"/>
      <c r="G11" s="12"/>
    </row>
    <row r="12" spans="3:9" ht="20.6" x14ac:dyDescent="0.5">
      <c r="C12" s="12">
        <v>2</v>
      </c>
      <c r="D12" s="13" t="s">
        <v>940</v>
      </c>
      <c r="E12" s="37">
        <f>COUNTIF(appointments7[Status],'Hospital Management Data'!R187)/Calculation!E11</f>
        <v>0.26</v>
      </c>
      <c r="F12" s="12"/>
      <c r="G12" s="12"/>
    </row>
    <row r="13" spans="3:9" ht="20.6" x14ac:dyDescent="0.5">
      <c r="C13" s="12">
        <v>3</v>
      </c>
      <c r="D13" s="13" t="s">
        <v>941</v>
      </c>
      <c r="E13" s="37">
        <f>COUNTIF(appointments7[Status],'Hospital Management Data'!R174)/Calculation!E11</f>
        <v>0.23</v>
      </c>
      <c r="F13" s="12"/>
      <c r="G13" s="12"/>
    </row>
    <row r="14" spans="3:9" ht="20.6" x14ac:dyDescent="0.5">
      <c r="C14" s="12">
        <v>4</v>
      </c>
      <c r="D14" s="13" t="s">
        <v>942</v>
      </c>
      <c r="E14" s="38">
        <f>SUM(appointments7[Amount])</f>
        <v>522420.06999999989</v>
      </c>
      <c r="F14" s="12"/>
      <c r="G14" s="12"/>
    </row>
    <row r="15" spans="3:9" ht="20.6" x14ac:dyDescent="0.5">
      <c r="C15" s="12">
        <v>5</v>
      </c>
      <c r="D15" s="13" t="s">
        <v>943</v>
      </c>
      <c r="E15" s="38">
        <f>SUMIF(appointments7[Payment_status],'Hospital Management Data'!AA183,appointments7[Amount])</f>
        <v>188674.03999999995</v>
      </c>
      <c r="F15" s="12"/>
      <c r="G15" s="12"/>
      <c r="I15" s="73"/>
    </row>
    <row r="16" spans="3:9" ht="20.6" x14ac:dyDescent="0.5">
      <c r="C16" s="12">
        <v>6</v>
      </c>
      <c r="D16" s="13" t="s">
        <v>944</v>
      </c>
      <c r="E16" s="39">
        <f>E15/E14</f>
        <v>0.36115388905330531</v>
      </c>
      <c r="F16" s="12"/>
      <c r="G16" s="12"/>
    </row>
    <row r="17" spans="2:7" ht="20.6" x14ac:dyDescent="0.5">
      <c r="C17" s="12">
        <v>7</v>
      </c>
      <c r="D17" s="13" t="s">
        <v>980</v>
      </c>
      <c r="E17" s="38">
        <f>AVERAGE(appointments7[Cost])</f>
        <v>2756.2492500000003</v>
      </c>
      <c r="F17" s="12"/>
      <c r="G17" s="12"/>
    </row>
    <row r="18" spans="2:7" ht="20.6" x14ac:dyDescent="0.5">
      <c r="C18" s="12">
        <v>8</v>
      </c>
      <c r="D18" s="13" t="s">
        <v>945</v>
      </c>
      <c r="E18" s="40" t="s">
        <v>841</v>
      </c>
      <c r="F18" s="12" t="s">
        <v>841</v>
      </c>
      <c r="G18" s="29">
        <f>SUMIF('Hospital Management Data'!$T$2:$T$202,Calculation!F18,'Hospital Management Data'!$U$2:$U$202)</f>
        <v>128855.67999999999</v>
      </c>
    </row>
    <row r="19" spans="2:7" ht="20.6" x14ac:dyDescent="0.5">
      <c r="C19" s="12"/>
      <c r="D19" s="13"/>
      <c r="E19" s="12"/>
      <c r="F19" s="12" t="s">
        <v>846</v>
      </c>
      <c r="G19" s="29">
        <f>SUMIF('Hospital Management Data'!$T$2:$T$202,Calculation!F19,'Hospital Management Data'!$U$2:$U$202)</f>
        <v>96224.24</v>
      </c>
    </row>
    <row r="20" spans="2:7" ht="20.6" x14ac:dyDescent="0.5">
      <c r="C20" s="13"/>
      <c r="D20" s="13"/>
      <c r="E20" s="12"/>
      <c r="F20" s="12" t="s">
        <v>843</v>
      </c>
      <c r="G20" s="29">
        <f>SUMIF('Hospital Management Data'!$T$2:$T$202,Calculation!F20,'Hospital Management Data'!$U$2:$U$202)</f>
        <v>116098.15999999999</v>
      </c>
    </row>
    <row r="21" spans="2:7" ht="20.6" x14ac:dyDescent="0.5">
      <c r="B21" s="8"/>
      <c r="C21" s="13"/>
      <c r="D21" s="13"/>
      <c r="E21" s="12"/>
      <c r="F21" s="12" t="s">
        <v>847</v>
      </c>
      <c r="G21" s="29">
        <f>SUMIF('Hospital Management Data'!$T$2:$T$202,Calculation!F21,'Hospital Management Data'!$U$2:$U$202)</f>
        <v>99418.1</v>
      </c>
    </row>
    <row r="22" spans="2:7" ht="20.6" x14ac:dyDescent="0.5">
      <c r="C22" s="13"/>
      <c r="D22" s="13"/>
      <c r="E22" s="12"/>
      <c r="F22" s="12" t="s">
        <v>848</v>
      </c>
      <c r="G22" s="29">
        <f>SUMIF('Hospital Management Data'!$T$2:$T$202,Calculation!F22,'Hospital Management Data'!$U$2:$U$202)</f>
        <v>110653.67000000001</v>
      </c>
    </row>
    <row r="29" spans="2:7" x14ac:dyDescent="0.4">
      <c r="E29" s="7" t="s">
        <v>916</v>
      </c>
    </row>
  </sheetData>
  <conditionalFormatting sqref="G18:G22">
    <cfRule type="dataBar" priority="1">
      <dataBar>
        <cfvo type="min"/>
        <cfvo type="max"/>
        <color rgb="FF638EC6"/>
      </dataBar>
      <extLst>
        <ext xmlns:x14="http://schemas.microsoft.com/office/spreadsheetml/2009/9/main" uri="{B025F937-C7B1-47D3-B67F-A62EFF666E3E}">
          <x14:id>{590E0DEB-8445-4424-9659-BE60A06F85AC}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90E0DEB-8445-4424-9659-BE60A06F85AC}">
            <x14:dataBar minLength="0" maxLength="100" border="1" negativeBarBorderColorSameAsPositive="0">
              <x14:cfvo type="autoMin"/>
              <x14:cfvo type="autoMax"/>
              <x14:borderColor rgb="FF638EC6"/>
              <x14:negativeFillColor rgb="FFFF0000"/>
              <x14:negativeBorderColor rgb="FFFF0000"/>
              <x14:axisColor rgb="FF000000"/>
            </x14:dataBar>
          </x14:cfRule>
          <xm:sqref>G18:G22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2130-7C5D-497E-81F5-94810AB93E99}">
  <dimension ref="B7:I38"/>
  <sheetViews>
    <sheetView showGridLines="0" topLeftCell="A22" zoomScale="84" zoomScaleNormal="84" workbookViewId="0">
      <selection activeCell="F29" sqref="F29"/>
    </sheetView>
  </sheetViews>
  <sheetFormatPr defaultRowHeight="14.6" x14ac:dyDescent="0.4"/>
  <cols>
    <col min="1" max="1" width="9.23046875" style="7"/>
    <col min="2" max="2" width="12.765625" style="7" bestFit="1" customWidth="1"/>
    <col min="3" max="3" width="22.69140625" style="7" bestFit="1" customWidth="1"/>
    <col min="4" max="4" width="23.61328125" style="7" bestFit="1" customWidth="1"/>
    <col min="5" max="5" width="14.3046875" style="7" bestFit="1" customWidth="1"/>
    <col min="6" max="6" width="22.69140625" style="7" bestFit="1" customWidth="1"/>
    <col min="7" max="7" width="13.921875" style="7" customWidth="1"/>
    <col min="8" max="8" width="13.3828125" style="7" bestFit="1" customWidth="1"/>
    <col min="9" max="9" width="14.07421875" style="7" bestFit="1" customWidth="1"/>
    <col min="10" max="10" width="22.3046875" style="7" bestFit="1" customWidth="1"/>
    <col min="11" max="16" width="10.3828125" style="7" bestFit="1" customWidth="1"/>
    <col min="17" max="17" width="11.921875" style="7" bestFit="1" customWidth="1"/>
    <col min="18" max="16384" width="9.23046875" style="7"/>
  </cols>
  <sheetData>
    <row r="7" spans="2:9" x14ac:dyDescent="0.4">
      <c r="B7" s="47" t="s">
        <v>970</v>
      </c>
      <c r="C7" s="48">
        <f>GETPIVOTDATA("Appointment_id",$B$14)</f>
        <v>6</v>
      </c>
      <c r="E7" s="32" t="s">
        <v>949</v>
      </c>
      <c r="F7" s="9"/>
      <c r="H7" s="33" t="s">
        <v>950</v>
      </c>
      <c r="I7" s="9"/>
    </row>
    <row r="8" spans="2:9" x14ac:dyDescent="0.4">
      <c r="B8" s="47" t="s">
        <v>971</v>
      </c>
      <c r="C8" s="49">
        <f>GETPIVOTDATA("Amount",$B$23)</f>
        <v>15628.27</v>
      </c>
      <c r="E8" s="9" t="s">
        <v>946</v>
      </c>
      <c r="F8" s="9" t="s">
        <v>948</v>
      </c>
      <c r="H8" s="9" t="s">
        <v>946</v>
      </c>
      <c r="I8" s="9" t="s">
        <v>948</v>
      </c>
    </row>
    <row r="9" spans="2:9" x14ac:dyDescent="0.4">
      <c r="B9" s="47" t="s">
        <v>981</v>
      </c>
      <c r="C9" s="50">
        <f>GETPIVOTDATA("Appointment_id",$B$33,"Status","Completed")</f>
        <v>0.16666666666666666</v>
      </c>
      <c r="E9" s="30" t="s">
        <v>695</v>
      </c>
      <c r="F9" s="78">
        <v>6</v>
      </c>
      <c r="H9" s="30" t="s">
        <v>915</v>
      </c>
      <c r="I9" s="78">
        <v>6</v>
      </c>
    </row>
    <row r="10" spans="2:9" x14ac:dyDescent="0.4">
      <c r="B10" s="64" t="s">
        <v>982</v>
      </c>
      <c r="C10" s="65" t="e">
        <f>GETPIVOTDATA("Appointment_id",$B$33,"Status","No-show")</f>
        <v>#REF!</v>
      </c>
      <c r="E10" s="30" t="s">
        <v>947</v>
      </c>
      <c r="F10" s="78">
        <v>6</v>
      </c>
      <c r="H10" s="30" t="s">
        <v>947</v>
      </c>
      <c r="I10" s="78">
        <v>6</v>
      </c>
    </row>
    <row r="11" spans="2:9" x14ac:dyDescent="0.4">
      <c r="B11" s="47" t="s">
        <v>972</v>
      </c>
      <c r="C11" s="49">
        <f>GETPIVOTDATA("Cost",$H$23)</f>
        <v>2662.686666666667</v>
      </c>
      <c r="E11"/>
      <c r="F11"/>
      <c r="H11"/>
      <c r="I11"/>
    </row>
    <row r="12" spans="2:9" x14ac:dyDescent="0.4">
      <c r="E12"/>
      <c r="F12"/>
      <c r="H12"/>
      <c r="I12"/>
    </row>
    <row r="13" spans="2:9" x14ac:dyDescent="0.4">
      <c r="B13" s="31" t="s">
        <v>959</v>
      </c>
      <c r="C13" s="9"/>
      <c r="H13"/>
      <c r="I13"/>
    </row>
    <row r="14" spans="2:9" x14ac:dyDescent="0.4">
      <c r="B14" s="9" t="s">
        <v>946</v>
      </c>
      <c r="C14" s="9" t="s">
        <v>948</v>
      </c>
      <c r="H14"/>
      <c r="I14"/>
    </row>
    <row r="15" spans="2:9" x14ac:dyDescent="0.4">
      <c r="B15" s="30" t="s">
        <v>19</v>
      </c>
      <c r="C15" s="78">
        <v>1</v>
      </c>
      <c r="D15" s="34"/>
      <c r="E15" s="33" t="s">
        <v>960</v>
      </c>
      <c r="F15" s="9"/>
      <c r="H15"/>
      <c r="I15"/>
    </row>
    <row r="16" spans="2:9" x14ac:dyDescent="0.4">
      <c r="B16" s="30" t="s">
        <v>41</v>
      </c>
      <c r="C16" s="78">
        <v>1</v>
      </c>
      <c r="D16" s="34"/>
      <c r="E16" s="9" t="s">
        <v>946</v>
      </c>
      <c r="F16" s="9" t="s">
        <v>948</v>
      </c>
      <c r="H16"/>
      <c r="I16"/>
    </row>
    <row r="17" spans="2:9" x14ac:dyDescent="0.4">
      <c r="B17" s="30" t="s">
        <v>11</v>
      </c>
      <c r="C17" s="78">
        <v>4</v>
      </c>
      <c r="D17" s="34"/>
      <c r="E17" s="30" t="s">
        <v>706</v>
      </c>
      <c r="F17" s="78">
        <v>6</v>
      </c>
      <c r="H17"/>
      <c r="I17"/>
    </row>
    <row r="18" spans="2:9" x14ac:dyDescent="0.4">
      <c r="B18" s="30" t="s">
        <v>947</v>
      </c>
      <c r="C18" s="78">
        <v>6</v>
      </c>
      <c r="D18" s="34"/>
      <c r="E18" s="30" t="s">
        <v>947</v>
      </c>
      <c r="F18" s="78">
        <v>6</v>
      </c>
      <c r="H18"/>
      <c r="I18"/>
    </row>
    <row r="19" spans="2:9" x14ac:dyDescent="0.4">
      <c r="B19"/>
      <c r="C19"/>
      <c r="D19" s="34"/>
      <c r="E19"/>
      <c r="F19"/>
      <c r="H19"/>
      <c r="I19"/>
    </row>
    <row r="20" spans="2:9" x14ac:dyDescent="0.4">
      <c r="E20"/>
      <c r="F20"/>
    </row>
    <row r="22" spans="2:9" x14ac:dyDescent="0.4">
      <c r="B22" s="33" t="s">
        <v>952</v>
      </c>
      <c r="C22" s="9"/>
      <c r="H22" s="33" t="s">
        <v>952</v>
      </c>
      <c r="I22" s="9"/>
    </row>
    <row r="23" spans="2:9" x14ac:dyDescent="0.4">
      <c r="B23" s="9" t="s">
        <v>946</v>
      </c>
      <c r="C23" s="9" t="s">
        <v>951</v>
      </c>
      <c r="E23" s="32" t="s">
        <v>958</v>
      </c>
      <c r="F23" s="9"/>
      <c r="H23" s="9" t="s">
        <v>946</v>
      </c>
      <c r="I23" s="9" t="s">
        <v>979</v>
      </c>
    </row>
    <row r="24" spans="2:9" x14ac:dyDescent="0.4">
      <c r="B24" s="30" t="s">
        <v>841</v>
      </c>
      <c r="C24" s="35">
        <v>15628.27</v>
      </c>
      <c r="E24" s="9" t="s">
        <v>946</v>
      </c>
      <c r="F24" s="9" t="s">
        <v>951</v>
      </c>
      <c r="H24" s="30" t="s">
        <v>841</v>
      </c>
      <c r="I24" s="35">
        <v>2662.686666666667</v>
      </c>
    </row>
    <row r="25" spans="2:9" x14ac:dyDescent="0.4">
      <c r="B25" s="30" t="s">
        <v>947</v>
      </c>
      <c r="C25" s="35">
        <v>15628.27</v>
      </c>
      <c r="E25" s="30" t="s">
        <v>954</v>
      </c>
      <c r="F25" s="35">
        <v>956.39</v>
      </c>
      <c r="H25" s="30" t="s">
        <v>947</v>
      </c>
      <c r="I25" s="35">
        <v>2662.686666666667</v>
      </c>
    </row>
    <row r="26" spans="2:9" x14ac:dyDescent="0.4">
      <c r="B26"/>
      <c r="C26"/>
      <c r="E26" s="30" t="s">
        <v>955</v>
      </c>
      <c r="F26" s="35">
        <v>1565.92</v>
      </c>
      <c r="H26"/>
      <c r="I26"/>
    </row>
    <row r="27" spans="2:9" x14ac:dyDescent="0.4">
      <c r="B27"/>
      <c r="C27"/>
      <c r="E27" s="30" t="s">
        <v>983</v>
      </c>
      <c r="F27" s="35">
        <v>3815.93</v>
      </c>
      <c r="H27"/>
      <c r="I27"/>
    </row>
    <row r="28" spans="2:9" x14ac:dyDescent="0.4">
      <c r="B28"/>
      <c r="C28"/>
      <c r="E28" s="30" t="s">
        <v>956</v>
      </c>
      <c r="F28" s="35">
        <v>5103.68</v>
      </c>
      <c r="H28"/>
      <c r="I28"/>
    </row>
    <row r="29" spans="2:9" x14ac:dyDescent="0.4">
      <c r="B29"/>
      <c r="C29"/>
      <c r="E29" s="30" t="s">
        <v>957</v>
      </c>
      <c r="F29" s="35">
        <v>4186.3500000000004</v>
      </c>
      <c r="H29"/>
      <c r="I29"/>
    </row>
    <row r="30" spans="2:9" x14ac:dyDescent="0.4">
      <c r="E30" s="30" t="s">
        <v>947</v>
      </c>
      <c r="F30" s="35">
        <v>15628.27</v>
      </c>
    </row>
    <row r="31" spans="2:9" x14ac:dyDescent="0.4">
      <c r="E31"/>
      <c r="F31"/>
    </row>
    <row r="32" spans="2:9" x14ac:dyDescent="0.4">
      <c r="B32" s="31" t="s">
        <v>959</v>
      </c>
      <c r="C32" s="9"/>
      <c r="E32"/>
      <c r="F32"/>
    </row>
    <row r="33" spans="2:6" x14ac:dyDescent="0.4">
      <c r="B33" s="9" t="s">
        <v>946</v>
      </c>
      <c r="C33" s="9" t="s">
        <v>948</v>
      </c>
      <c r="E33"/>
      <c r="F33"/>
    </row>
    <row r="34" spans="2:6" x14ac:dyDescent="0.4">
      <c r="B34" s="30" t="s">
        <v>19</v>
      </c>
      <c r="C34" s="63">
        <v>0.16666666666666666</v>
      </c>
      <c r="E34"/>
      <c r="F34"/>
    </row>
    <row r="35" spans="2:6" x14ac:dyDescent="0.4">
      <c r="B35" s="30" t="s">
        <v>41</v>
      </c>
      <c r="C35" s="63">
        <v>0.16666666666666666</v>
      </c>
      <c r="E35"/>
      <c r="F35"/>
    </row>
    <row r="36" spans="2:6" x14ac:dyDescent="0.4">
      <c r="B36" s="30" t="s">
        <v>11</v>
      </c>
      <c r="C36" s="63">
        <v>0.66666666666666663</v>
      </c>
      <c r="E36"/>
      <c r="F36"/>
    </row>
    <row r="37" spans="2:6" x14ac:dyDescent="0.4">
      <c r="B37" s="30" t="s">
        <v>947</v>
      </c>
      <c r="C37" s="63">
        <v>1</v>
      </c>
      <c r="E37"/>
      <c r="F37"/>
    </row>
    <row r="38" spans="2:6" x14ac:dyDescent="0.4">
      <c r="B38"/>
      <c r="C38"/>
    </row>
  </sheetData>
  <pageMargins left="0.7" right="0.7" top="0.75" bottom="0.75" header="0.3" footer="0.3"/>
  <drawing r:id="rId9"/>
  <extLst>
    <ext xmlns:x14="http://schemas.microsoft.com/office/spreadsheetml/2009/9/main" uri="{05C60535-1F16-4fd2-B633-F4F36F0B64E0}">
      <x14:sparklineGroups xmlns:xm="http://schemas.microsoft.com/office/excel/2006/main">
        <x14:sparklineGroup type="column" displayEmptyCellsAs="gap" high="1" xr2:uid="{CDE1F33D-6E73-4256-A44B-EEE5CF383093}">
          <x14:colorSeries rgb="FF2D4069"/>
          <x14:colorNegative rgb="FFD00000"/>
          <x14:colorAxis rgb="FF000000"/>
          <x14:colorMarkers rgb="FFD00000"/>
          <x14:colorFirst rgb="FFD00000"/>
          <x14:colorLast rgb="FFD00000"/>
          <x14:colorHigh rgb="FF800000"/>
          <x14:colorLow rgb="FFD00000"/>
          <x14:sparklines>
            <x14:sparkline>
              <xm:f>PIVOT!F25:F35</xm:f>
              <xm:sqref>J3</xm:sqref>
            </x14:sparkline>
          </x14:sparklines>
        </x14:sparklineGroup>
      </x14:sparklineGroups>
    </ex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DC52-DD7B-4174-895F-E6D75445A0A3}">
  <dimension ref="A1"/>
  <sheetViews>
    <sheetView showGridLines="0" topLeftCell="A49" zoomScale="97" zoomScaleNormal="97" workbookViewId="0">
      <selection activeCell="J61" sqref="J61"/>
    </sheetView>
  </sheetViews>
  <sheetFormatPr defaultRowHeight="14.6" x14ac:dyDescent="0.4"/>
  <cols>
    <col min="1" max="16384" width="9.23046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1EF5-2D93-4727-A26C-AE0A731A490B}">
  <dimension ref="A4"/>
  <sheetViews>
    <sheetView zoomScale="10" zoomScaleNormal="10" zoomScaleSheetLayoutView="10" workbookViewId="0">
      <selection activeCell="CA368" sqref="CA368"/>
    </sheetView>
  </sheetViews>
  <sheetFormatPr defaultRowHeight="14.6" x14ac:dyDescent="0.4"/>
  <cols>
    <col min="1" max="16384" width="9.23046875" style="7"/>
  </cols>
  <sheetData>
    <row r="4" s="7" customFormat="1" x14ac:dyDescent="0.4"/>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5182-F156-4C4D-8A7B-8D6EC71C2E7F}">
  <dimension ref="E8:G29"/>
  <sheetViews>
    <sheetView showGridLines="0" tabSelected="1" zoomScale="97" zoomScaleNormal="97" workbookViewId="0">
      <selection activeCell="H9" sqref="H9"/>
    </sheetView>
  </sheetViews>
  <sheetFormatPr defaultRowHeight="14.6" x14ac:dyDescent="0.4"/>
  <cols>
    <col min="1" max="2" width="9.23046875" style="7"/>
    <col min="3" max="4" width="15" style="7" customWidth="1"/>
    <col min="5" max="5" width="46.765625" style="7" customWidth="1"/>
    <col min="6" max="6" width="50.84375" style="7" customWidth="1"/>
    <col min="7" max="16384" width="9.23046875" style="7"/>
  </cols>
  <sheetData>
    <row r="8" spans="5:6" ht="23.6" thickBot="1" x14ac:dyDescent="0.45">
      <c r="E8" s="67" t="s">
        <v>984</v>
      </c>
      <c r="F8" s="68" t="s">
        <v>985</v>
      </c>
    </row>
    <row r="9" spans="5:6" ht="37.299999999999997" thickBot="1" x14ac:dyDescent="0.45">
      <c r="E9" s="69" t="s">
        <v>1012</v>
      </c>
      <c r="F9" s="70" t="s">
        <v>986</v>
      </c>
    </row>
    <row r="10" spans="5:6" ht="55.75" thickBot="1" x14ac:dyDescent="0.45">
      <c r="E10" s="71" t="s">
        <v>987</v>
      </c>
      <c r="F10" s="72" t="s">
        <v>988</v>
      </c>
    </row>
    <row r="11" spans="5:6" ht="37.299999999999997" thickBot="1" x14ac:dyDescent="0.45">
      <c r="E11" s="69" t="s">
        <v>989</v>
      </c>
      <c r="F11" s="70" t="s">
        <v>990</v>
      </c>
    </row>
    <row r="12" spans="5:6" ht="55.75" thickBot="1" x14ac:dyDescent="0.45">
      <c r="E12" s="71" t="s">
        <v>991</v>
      </c>
      <c r="F12" s="72" t="s">
        <v>992</v>
      </c>
    </row>
    <row r="13" spans="5:6" ht="37.299999999999997" thickBot="1" x14ac:dyDescent="0.45">
      <c r="E13" s="69" t="s">
        <v>1008</v>
      </c>
      <c r="F13" s="70" t="s">
        <v>1009</v>
      </c>
    </row>
    <row r="14" spans="5:6" s="77" customFormat="1" ht="37.299999999999997" thickBot="1" x14ac:dyDescent="0.45">
      <c r="E14" s="71" t="s">
        <v>1023</v>
      </c>
      <c r="F14" s="72" t="s">
        <v>998</v>
      </c>
    </row>
    <row r="15" spans="5:6" s="76" customFormat="1" ht="55.75" thickBot="1" x14ac:dyDescent="0.45">
      <c r="E15" s="69" t="s">
        <v>1021</v>
      </c>
      <c r="F15" s="70" t="s">
        <v>999</v>
      </c>
    </row>
    <row r="16" spans="5:6" s="77" customFormat="1" ht="55.75" thickBot="1" x14ac:dyDescent="0.45">
      <c r="E16" s="71" t="s">
        <v>1022</v>
      </c>
      <c r="F16" s="72" t="s">
        <v>1000</v>
      </c>
    </row>
    <row r="17" spans="5:7" ht="55.75" thickBot="1" x14ac:dyDescent="0.45">
      <c r="E17" s="69" t="s">
        <v>1019</v>
      </c>
      <c r="F17" s="70" t="s">
        <v>993</v>
      </c>
    </row>
    <row r="18" spans="5:7" ht="55.75" thickBot="1" x14ac:dyDescent="0.45">
      <c r="E18" s="71" t="s">
        <v>996</v>
      </c>
      <c r="F18" s="72" t="s">
        <v>997</v>
      </c>
    </row>
    <row r="19" spans="5:7" s="76" customFormat="1" ht="37.299999999999997" thickBot="1" x14ac:dyDescent="0.45">
      <c r="E19" s="69" t="s">
        <v>994</v>
      </c>
      <c r="F19" s="70" t="s">
        <v>995</v>
      </c>
    </row>
    <row r="20" spans="5:7" ht="55.75" thickBot="1" x14ac:dyDescent="0.45">
      <c r="E20" s="71" t="s">
        <v>1011</v>
      </c>
      <c r="F20" s="72" t="s">
        <v>1001</v>
      </c>
    </row>
    <row r="21" spans="5:7" ht="55.75" thickBot="1" x14ac:dyDescent="0.45">
      <c r="E21" s="69" t="s">
        <v>1020</v>
      </c>
      <c r="F21" s="70" t="s">
        <v>1010</v>
      </c>
    </row>
    <row r="22" spans="5:7" s="77" customFormat="1" ht="55.75" thickBot="1" x14ac:dyDescent="0.45">
      <c r="E22" s="71" t="s">
        <v>1002</v>
      </c>
      <c r="F22" s="72" t="s">
        <v>1003</v>
      </c>
    </row>
    <row r="23" spans="5:7" s="76" customFormat="1" ht="55.75" thickBot="1" x14ac:dyDescent="0.45">
      <c r="E23" s="69" t="s">
        <v>1004</v>
      </c>
      <c r="F23" s="70" t="s">
        <v>1005</v>
      </c>
    </row>
    <row r="24" spans="5:7" s="77" customFormat="1" ht="55.75" thickBot="1" x14ac:dyDescent="0.45">
      <c r="E24" s="71" t="s">
        <v>1006</v>
      </c>
      <c r="F24" s="72" t="s">
        <v>1007</v>
      </c>
    </row>
    <row r="25" spans="5:7" s="76" customFormat="1" ht="55.75" thickBot="1" x14ac:dyDescent="0.45">
      <c r="E25" s="69" t="s">
        <v>1013</v>
      </c>
      <c r="F25" s="70" t="s">
        <v>1014</v>
      </c>
    </row>
    <row r="26" spans="5:7" ht="55.75" thickBot="1" x14ac:dyDescent="0.45">
      <c r="E26" s="71" t="s">
        <v>1015</v>
      </c>
      <c r="F26" s="72" t="s">
        <v>1016</v>
      </c>
    </row>
    <row r="27" spans="5:7" ht="73.75" x14ac:dyDescent="0.4">
      <c r="E27" s="74" t="s">
        <v>1017</v>
      </c>
      <c r="F27" s="75" t="s">
        <v>1018</v>
      </c>
    </row>
    <row r="29" spans="5:7" x14ac:dyDescent="0.4">
      <c r="G29" s="66"/>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88208D-8C62-4A02-8A39-168FAAF005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Appointments</vt:lpstr>
      <vt:lpstr>Patients</vt:lpstr>
      <vt:lpstr>Doctors</vt:lpstr>
      <vt:lpstr>Treatments</vt:lpstr>
      <vt:lpstr>Billing</vt:lpstr>
      <vt:lpstr>Hospital Management Data</vt:lpstr>
      <vt:lpstr>Changelog</vt:lpstr>
      <vt:lpstr>Analysis </vt:lpstr>
      <vt:lpstr>Calculation</vt:lpstr>
      <vt:lpstr>PIVOT</vt:lpstr>
      <vt:lpstr>Charts</vt:lpstr>
      <vt:lpstr>Dashboard</vt:lpstr>
      <vt:lpstr>Insights &amp;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V</dc:creator>
  <cp:lastModifiedBy>Anjana V</cp:lastModifiedBy>
  <dcterms:created xsi:type="dcterms:W3CDTF">2026-09-08T12:13:34Z</dcterms:created>
  <dcterms:modified xsi:type="dcterms:W3CDTF">2026-09-16T15:54:52Z</dcterms:modified>
</cp:coreProperties>
</file>